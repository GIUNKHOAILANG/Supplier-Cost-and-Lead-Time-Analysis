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1. AJob\Project\"/>
    </mc:Choice>
  </mc:AlternateContent>
  <xr:revisionPtr revIDLastSave="0" documentId="13_ncr:1_{492EE0F4-93AB-4891-95AF-03232B03068E}" xr6:coauthVersionLast="47" xr6:coauthVersionMax="47" xr10:uidLastSave="{00000000-0000-0000-0000-000000000000}"/>
  <bookViews>
    <workbookView xWindow="-105" yWindow="0" windowWidth="23445" windowHeight="20985" xr2:uid="{00000000-000D-0000-FFFF-FFFF00000000}"/>
  </bookViews>
  <sheets>
    <sheet name="1_Raw_Data" sheetId="2" r:id="rId1"/>
    <sheet name="2_Category_Summary" sheetId="3" r:id="rId2"/>
    <sheet name="3_VLOOKUP_Card" sheetId="4" r:id="rId3"/>
    <sheet name="4_Scenario_Analysis" sheetId="5" r:id="rId4"/>
    <sheet name="5_Dashboard" sheetId="6" r:id="rId5"/>
  </sheets>
  <definedNames>
    <definedName name="Slicer_Category">#N/A</definedName>
    <definedName name="Slicer_Count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Lst>
</workbook>
</file>

<file path=xl/calcChain.xml><?xml version="1.0" encoding="utf-8"?>
<calcChain xmlns="http://schemas.openxmlformats.org/spreadsheetml/2006/main">
  <c r="C17" i="5" l="1"/>
  <c r="E23" i="3"/>
  <c r="E24" i="3"/>
  <c r="E25" i="3"/>
  <c r="E26" i="3"/>
  <c r="E27" i="3"/>
  <c r="E28" i="3"/>
  <c r="E29" i="3"/>
  <c r="E30" i="3"/>
  <c r="E31" i="3"/>
  <c r="E32" i="3"/>
  <c r="E33" i="3"/>
  <c r="E34" i="3"/>
  <c r="E35" i="3"/>
  <c r="E36" i="3"/>
  <c r="E37" i="3"/>
  <c r="E38" i="3"/>
  <c r="E39" i="3"/>
  <c r="E40" i="3"/>
  <c r="E41" i="3"/>
  <c r="E42" i="3"/>
  <c r="E43" i="3"/>
  <c r="E44" i="3"/>
  <c r="E45" i="3"/>
  <c r="E46" i="3"/>
  <c r="H24" i="3"/>
  <c r="H25" i="3"/>
  <c r="H26" i="3"/>
  <c r="H27" i="3"/>
  <c r="H28" i="3"/>
  <c r="H29" i="3"/>
  <c r="H30" i="3"/>
  <c r="H31" i="3"/>
  <c r="H32" i="3"/>
  <c r="H33" i="3"/>
  <c r="H34" i="3"/>
  <c r="H35" i="3"/>
  <c r="H36" i="3"/>
  <c r="H37" i="3"/>
  <c r="H38" i="3"/>
  <c r="H39" i="3"/>
  <c r="H40" i="3"/>
  <c r="H41" i="3"/>
  <c r="H42" i="3"/>
  <c r="H43" i="3"/>
  <c r="H44" i="3"/>
  <c r="H45" i="3"/>
  <c r="H46" i="3"/>
  <c r="F24" i="3"/>
  <c r="F25" i="3"/>
  <c r="F26" i="3"/>
  <c r="F27" i="3"/>
  <c r="F28" i="3"/>
  <c r="F29" i="3"/>
  <c r="F30" i="3"/>
  <c r="F31" i="3"/>
  <c r="F32" i="3"/>
  <c r="F33" i="3"/>
  <c r="F34" i="3"/>
  <c r="F35" i="3"/>
  <c r="F36" i="3"/>
  <c r="F37" i="3"/>
  <c r="F38" i="3"/>
  <c r="F39" i="3"/>
  <c r="F40" i="3"/>
  <c r="F41" i="3"/>
  <c r="F42" i="3"/>
  <c r="F43" i="3"/>
  <c r="F44" i="3"/>
  <c r="F45" i="3"/>
  <c r="F46" i="3"/>
  <c r="F23" i="3"/>
  <c r="H23" i="3"/>
  <c r="C30" i="4"/>
  <c r="C26" i="4"/>
  <c r="C29" i="4"/>
  <c r="C28" i="4"/>
  <c r="C27" i="4"/>
  <c r="E19" i="5"/>
  <c r="C23" i="3"/>
  <c r="E4" i="3"/>
  <c r="D24" i="3"/>
  <c r="D25" i="3"/>
  <c r="D26" i="3"/>
  <c r="D27" i="3"/>
  <c r="D28" i="3"/>
  <c r="D29" i="3"/>
  <c r="D30" i="3"/>
  <c r="D31" i="3"/>
  <c r="D32" i="3"/>
  <c r="D33" i="3"/>
  <c r="D34" i="3"/>
  <c r="D35" i="3"/>
  <c r="D36" i="3"/>
  <c r="D37" i="3"/>
  <c r="D38" i="3"/>
  <c r="D39" i="3"/>
  <c r="D40" i="3"/>
  <c r="D41" i="3"/>
  <c r="D42" i="3"/>
  <c r="D43" i="3"/>
  <c r="D44" i="3"/>
  <c r="D45" i="3"/>
  <c r="D46" i="3"/>
  <c r="D23" i="3"/>
  <c r="C24" i="3"/>
  <c r="C25" i="3"/>
  <c r="C26" i="3"/>
  <c r="C27" i="3"/>
  <c r="C28" i="3"/>
  <c r="C29" i="3"/>
  <c r="C30" i="3"/>
  <c r="C31" i="3"/>
  <c r="C32" i="3"/>
  <c r="C33" i="3"/>
  <c r="C34" i="3"/>
  <c r="C35" i="3"/>
  <c r="C36" i="3"/>
  <c r="C37" i="3"/>
  <c r="C38" i="3"/>
  <c r="C39" i="3"/>
  <c r="C40" i="3"/>
  <c r="C41" i="3"/>
  <c r="C42" i="3"/>
  <c r="C43" i="3"/>
  <c r="C44" i="3"/>
  <c r="C45" i="3"/>
  <c r="C46" i="3"/>
  <c r="C4" i="3"/>
  <c r="C5" i="3"/>
  <c r="C6" i="3"/>
  <c r="C7" i="3"/>
  <c r="C8" i="3"/>
  <c r="C9" i="3"/>
  <c r="C10" i="3"/>
  <c r="C11" i="3"/>
  <c r="C12" i="3"/>
  <c r="C13" i="3"/>
  <c r="C14" i="3"/>
  <c r="C15" i="3"/>
  <c r="C16" i="3"/>
  <c r="C17" i="3"/>
  <c r="C18" i="3"/>
  <c r="F16" i="3"/>
  <c r="C15" i="4"/>
  <c r="C14" i="4"/>
  <c r="C13" i="4"/>
  <c r="C12" i="4"/>
  <c r="C16" i="4"/>
  <c r="C11" i="4"/>
  <c r="C10" i="4"/>
  <c r="C9" i="4"/>
  <c r="C8" i="4"/>
  <c r="C7" i="4"/>
  <c r="N15" i="2"/>
  <c r="M4" i="2"/>
  <c r="G41" i="3" s="1"/>
  <c r="K18" i="6"/>
  <c r="J18" i="6"/>
  <c r="I18" i="6"/>
  <c r="K17" i="6"/>
  <c r="J17" i="6"/>
  <c r="I17" i="6"/>
  <c r="K16" i="6"/>
  <c r="J16" i="6"/>
  <c r="I16" i="6"/>
  <c r="K15" i="6"/>
  <c r="J15" i="6"/>
  <c r="I15" i="6"/>
  <c r="E15" i="6"/>
  <c r="D15" i="6"/>
  <c r="C15" i="6"/>
  <c r="B15" i="6"/>
  <c r="K14" i="6"/>
  <c r="J14" i="6"/>
  <c r="I14" i="6"/>
  <c r="E14" i="6"/>
  <c r="D14" i="6"/>
  <c r="C14" i="6"/>
  <c r="B14" i="6"/>
  <c r="K13" i="6"/>
  <c r="J13" i="6"/>
  <c r="I13" i="6"/>
  <c r="E13" i="6"/>
  <c r="D13" i="6"/>
  <c r="C13" i="6"/>
  <c r="B13" i="6"/>
  <c r="K12" i="6"/>
  <c r="J12" i="6"/>
  <c r="I12" i="6"/>
  <c r="E12" i="6"/>
  <c r="D12" i="6"/>
  <c r="C12" i="6"/>
  <c r="B12" i="6"/>
  <c r="K11" i="6"/>
  <c r="J11" i="6"/>
  <c r="I11" i="6"/>
  <c r="E11" i="6"/>
  <c r="D11" i="6"/>
  <c r="C11" i="6"/>
  <c r="B11" i="6"/>
  <c r="G6" i="6"/>
  <c r="D6" i="6"/>
  <c r="A6" i="6"/>
  <c r="C16" i="5"/>
  <c r="F16" i="5" s="1"/>
  <c r="C15" i="5"/>
  <c r="C14" i="5"/>
  <c r="F19" i="5" s="1"/>
  <c r="H18" i="3"/>
  <c r="F18" i="3"/>
  <c r="E18" i="3"/>
  <c r="D18" i="3"/>
  <c r="H17" i="3"/>
  <c r="F17" i="3"/>
  <c r="E17" i="3"/>
  <c r="D17" i="3"/>
  <c r="H16" i="3"/>
  <c r="E16" i="3"/>
  <c r="D16" i="3"/>
  <c r="H15" i="3"/>
  <c r="F15" i="3"/>
  <c r="E15" i="3"/>
  <c r="D15" i="3"/>
  <c r="H14" i="3"/>
  <c r="F14" i="3"/>
  <c r="E14" i="3"/>
  <c r="D14" i="3"/>
  <c r="H13" i="3"/>
  <c r="F13" i="3"/>
  <c r="E13" i="3"/>
  <c r="D13" i="3"/>
  <c r="H12" i="3"/>
  <c r="F12" i="3"/>
  <c r="E12" i="3"/>
  <c r="D12" i="3"/>
  <c r="H11" i="3"/>
  <c r="F11" i="3"/>
  <c r="E11" i="3"/>
  <c r="D11" i="3"/>
  <c r="H10" i="3"/>
  <c r="F10" i="3"/>
  <c r="E10" i="3"/>
  <c r="D10" i="3"/>
  <c r="H9" i="3"/>
  <c r="F9" i="3"/>
  <c r="E9" i="3"/>
  <c r="D9" i="3"/>
  <c r="H8" i="3"/>
  <c r="F8" i="3"/>
  <c r="E8" i="3"/>
  <c r="D8" i="3"/>
  <c r="H7" i="3"/>
  <c r="F7" i="3"/>
  <c r="E7" i="3"/>
  <c r="D7" i="3"/>
  <c r="H6" i="3"/>
  <c r="F6" i="3"/>
  <c r="E6" i="3"/>
  <c r="D6" i="3"/>
  <c r="H5" i="3"/>
  <c r="F5" i="3"/>
  <c r="E5" i="3"/>
  <c r="D5" i="3"/>
  <c r="H4" i="3"/>
  <c r="F4" i="3"/>
  <c r="D4" i="3"/>
  <c r="N501" i="2"/>
  <c r="M501" i="2"/>
  <c r="N500" i="2"/>
  <c r="M500" i="2"/>
  <c r="N499" i="2"/>
  <c r="M499" i="2"/>
  <c r="N498" i="2"/>
  <c r="M498" i="2"/>
  <c r="N497" i="2"/>
  <c r="M497" i="2"/>
  <c r="N496" i="2"/>
  <c r="M496" i="2"/>
  <c r="N495" i="2"/>
  <c r="M495" i="2"/>
  <c r="N494" i="2"/>
  <c r="M494" i="2"/>
  <c r="N493" i="2"/>
  <c r="M493" i="2"/>
  <c r="N492" i="2"/>
  <c r="M492" i="2"/>
  <c r="N491" i="2"/>
  <c r="M491" i="2"/>
  <c r="N490" i="2"/>
  <c r="M490" i="2"/>
  <c r="N489" i="2"/>
  <c r="M489" i="2"/>
  <c r="N488" i="2"/>
  <c r="M488" i="2"/>
  <c r="N487" i="2"/>
  <c r="M487" i="2"/>
  <c r="N486" i="2"/>
  <c r="M486" i="2"/>
  <c r="N485" i="2"/>
  <c r="M485" i="2"/>
  <c r="N484" i="2"/>
  <c r="M484" i="2"/>
  <c r="N483" i="2"/>
  <c r="M483" i="2"/>
  <c r="N482" i="2"/>
  <c r="M482" i="2"/>
  <c r="N481" i="2"/>
  <c r="M481" i="2"/>
  <c r="N480" i="2"/>
  <c r="M480" i="2"/>
  <c r="N479" i="2"/>
  <c r="M479" i="2"/>
  <c r="N478" i="2"/>
  <c r="M478" i="2"/>
  <c r="N477" i="2"/>
  <c r="M477" i="2"/>
  <c r="N476" i="2"/>
  <c r="M476" i="2"/>
  <c r="N475" i="2"/>
  <c r="M475" i="2"/>
  <c r="N474" i="2"/>
  <c r="M474" i="2"/>
  <c r="N473" i="2"/>
  <c r="M473" i="2"/>
  <c r="N472" i="2"/>
  <c r="M472" i="2"/>
  <c r="N471" i="2"/>
  <c r="M471" i="2"/>
  <c r="N470" i="2"/>
  <c r="M470" i="2"/>
  <c r="N469" i="2"/>
  <c r="M469" i="2"/>
  <c r="N468" i="2"/>
  <c r="M468" i="2"/>
  <c r="N467" i="2"/>
  <c r="M467" i="2"/>
  <c r="N466" i="2"/>
  <c r="M466" i="2"/>
  <c r="N465" i="2"/>
  <c r="M465" i="2"/>
  <c r="N464" i="2"/>
  <c r="M464" i="2"/>
  <c r="N463" i="2"/>
  <c r="M463" i="2"/>
  <c r="N462" i="2"/>
  <c r="M462" i="2"/>
  <c r="N461" i="2"/>
  <c r="M461" i="2"/>
  <c r="N460" i="2"/>
  <c r="M460" i="2"/>
  <c r="N459" i="2"/>
  <c r="M459" i="2"/>
  <c r="N458" i="2"/>
  <c r="M458" i="2"/>
  <c r="N457" i="2"/>
  <c r="M457" i="2"/>
  <c r="N456" i="2"/>
  <c r="M456" i="2"/>
  <c r="N455" i="2"/>
  <c r="M455" i="2"/>
  <c r="N454" i="2"/>
  <c r="M454" i="2"/>
  <c r="N453" i="2"/>
  <c r="M453" i="2"/>
  <c r="N452" i="2"/>
  <c r="M452" i="2"/>
  <c r="N451" i="2"/>
  <c r="M451" i="2"/>
  <c r="N450" i="2"/>
  <c r="M450" i="2"/>
  <c r="N449" i="2"/>
  <c r="M449" i="2"/>
  <c r="N448" i="2"/>
  <c r="M448" i="2"/>
  <c r="N447" i="2"/>
  <c r="M447" i="2"/>
  <c r="N446" i="2"/>
  <c r="M446" i="2"/>
  <c r="N445" i="2"/>
  <c r="M445" i="2"/>
  <c r="N444" i="2"/>
  <c r="M444" i="2"/>
  <c r="N443" i="2"/>
  <c r="M443" i="2"/>
  <c r="N442" i="2"/>
  <c r="M442" i="2"/>
  <c r="N441" i="2"/>
  <c r="M441" i="2"/>
  <c r="N440" i="2"/>
  <c r="M440" i="2"/>
  <c r="N439" i="2"/>
  <c r="M439" i="2"/>
  <c r="N438" i="2"/>
  <c r="M438" i="2"/>
  <c r="N437" i="2"/>
  <c r="M437" i="2"/>
  <c r="N436" i="2"/>
  <c r="M436" i="2"/>
  <c r="N435" i="2"/>
  <c r="M435" i="2"/>
  <c r="N434" i="2"/>
  <c r="M434" i="2"/>
  <c r="N433" i="2"/>
  <c r="M433" i="2"/>
  <c r="N432" i="2"/>
  <c r="M432" i="2"/>
  <c r="N431" i="2"/>
  <c r="M431" i="2"/>
  <c r="N430" i="2"/>
  <c r="M430" i="2"/>
  <c r="N429" i="2"/>
  <c r="M429" i="2"/>
  <c r="N428" i="2"/>
  <c r="M428" i="2"/>
  <c r="N427" i="2"/>
  <c r="M427" i="2"/>
  <c r="N426" i="2"/>
  <c r="M426" i="2"/>
  <c r="N425" i="2"/>
  <c r="M425" i="2"/>
  <c r="N424" i="2"/>
  <c r="M424" i="2"/>
  <c r="N423" i="2"/>
  <c r="M423" i="2"/>
  <c r="N422" i="2"/>
  <c r="M422" i="2"/>
  <c r="N421" i="2"/>
  <c r="M421" i="2"/>
  <c r="N420" i="2"/>
  <c r="M420" i="2"/>
  <c r="N419" i="2"/>
  <c r="M419" i="2"/>
  <c r="N418" i="2"/>
  <c r="M418" i="2"/>
  <c r="N417" i="2"/>
  <c r="M417" i="2"/>
  <c r="N416" i="2"/>
  <c r="M416" i="2"/>
  <c r="N415" i="2"/>
  <c r="M415" i="2"/>
  <c r="N414" i="2"/>
  <c r="M414" i="2"/>
  <c r="N413" i="2"/>
  <c r="M413" i="2"/>
  <c r="N412" i="2"/>
  <c r="M412" i="2"/>
  <c r="N411" i="2"/>
  <c r="M411" i="2"/>
  <c r="N410" i="2"/>
  <c r="M410" i="2"/>
  <c r="N409" i="2"/>
  <c r="M409" i="2"/>
  <c r="N408" i="2"/>
  <c r="M408" i="2"/>
  <c r="N407" i="2"/>
  <c r="M407" i="2"/>
  <c r="N406" i="2"/>
  <c r="M406" i="2"/>
  <c r="N405" i="2"/>
  <c r="M405" i="2"/>
  <c r="N404" i="2"/>
  <c r="M404" i="2"/>
  <c r="N403" i="2"/>
  <c r="M403" i="2"/>
  <c r="N402" i="2"/>
  <c r="M402" i="2"/>
  <c r="N401" i="2"/>
  <c r="M401" i="2"/>
  <c r="N400" i="2"/>
  <c r="M400" i="2"/>
  <c r="N399" i="2"/>
  <c r="M399" i="2"/>
  <c r="N398" i="2"/>
  <c r="M398" i="2"/>
  <c r="N397" i="2"/>
  <c r="M397" i="2"/>
  <c r="N396" i="2"/>
  <c r="M396" i="2"/>
  <c r="N395" i="2"/>
  <c r="M395" i="2"/>
  <c r="N394" i="2"/>
  <c r="M394" i="2"/>
  <c r="N393" i="2"/>
  <c r="M393" i="2"/>
  <c r="N392" i="2"/>
  <c r="M392" i="2"/>
  <c r="N391" i="2"/>
  <c r="M391" i="2"/>
  <c r="N390" i="2"/>
  <c r="M390" i="2"/>
  <c r="N389" i="2"/>
  <c r="M389" i="2"/>
  <c r="N388" i="2"/>
  <c r="M388" i="2"/>
  <c r="N387" i="2"/>
  <c r="M387" i="2"/>
  <c r="N386" i="2"/>
  <c r="M386" i="2"/>
  <c r="N385" i="2"/>
  <c r="M385" i="2"/>
  <c r="N384" i="2"/>
  <c r="M384" i="2"/>
  <c r="N383" i="2"/>
  <c r="M383" i="2"/>
  <c r="N382" i="2"/>
  <c r="M382" i="2"/>
  <c r="N381" i="2"/>
  <c r="M381" i="2"/>
  <c r="N380" i="2"/>
  <c r="M380" i="2"/>
  <c r="N379" i="2"/>
  <c r="M379" i="2"/>
  <c r="N378" i="2"/>
  <c r="M378" i="2"/>
  <c r="N377" i="2"/>
  <c r="M377" i="2"/>
  <c r="N376" i="2"/>
  <c r="M376" i="2"/>
  <c r="N375" i="2"/>
  <c r="M375" i="2"/>
  <c r="N374" i="2"/>
  <c r="M374" i="2"/>
  <c r="N373" i="2"/>
  <c r="M373" i="2"/>
  <c r="N372" i="2"/>
  <c r="M372" i="2"/>
  <c r="N371" i="2"/>
  <c r="M371" i="2"/>
  <c r="N370" i="2"/>
  <c r="M370" i="2"/>
  <c r="N369" i="2"/>
  <c r="M369" i="2"/>
  <c r="N368" i="2"/>
  <c r="M368" i="2"/>
  <c r="N367" i="2"/>
  <c r="M367" i="2"/>
  <c r="N366" i="2"/>
  <c r="M366" i="2"/>
  <c r="N365" i="2"/>
  <c r="M365" i="2"/>
  <c r="N364" i="2"/>
  <c r="M364" i="2"/>
  <c r="N363" i="2"/>
  <c r="M363" i="2"/>
  <c r="N362" i="2"/>
  <c r="M362" i="2"/>
  <c r="N361" i="2"/>
  <c r="M361" i="2"/>
  <c r="N360" i="2"/>
  <c r="M360" i="2"/>
  <c r="N359" i="2"/>
  <c r="M359" i="2"/>
  <c r="N358" i="2"/>
  <c r="M358" i="2"/>
  <c r="N357" i="2"/>
  <c r="M357" i="2"/>
  <c r="N356" i="2"/>
  <c r="M356" i="2"/>
  <c r="N355" i="2"/>
  <c r="M355" i="2"/>
  <c r="N354" i="2"/>
  <c r="M354" i="2"/>
  <c r="N353" i="2"/>
  <c r="M353" i="2"/>
  <c r="N352" i="2"/>
  <c r="M352" i="2"/>
  <c r="N351" i="2"/>
  <c r="M351" i="2"/>
  <c r="N350" i="2"/>
  <c r="M350" i="2"/>
  <c r="N349" i="2"/>
  <c r="M349" i="2"/>
  <c r="N348" i="2"/>
  <c r="M348" i="2"/>
  <c r="N347" i="2"/>
  <c r="M347" i="2"/>
  <c r="N346" i="2"/>
  <c r="M346" i="2"/>
  <c r="N345" i="2"/>
  <c r="M345" i="2"/>
  <c r="N344" i="2"/>
  <c r="M344" i="2"/>
  <c r="N343" i="2"/>
  <c r="M343" i="2"/>
  <c r="N342" i="2"/>
  <c r="M342" i="2"/>
  <c r="N341" i="2"/>
  <c r="M341" i="2"/>
  <c r="N340" i="2"/>
  <c r="M340" i="2"/>
  <c r="N339" i="2"/>
  <c r="M339" i="2"/>
  <c r="N338" i="2"/>
  <c r="M338" i="2"/>
  <c r="N337" i="2"/>
  <c r="M337" i="2"/>
  <c r="N336" i="2"/>
  <c r="M336" i="2"/>
  <c r="N335" i="2"/>
  <c r="M335" i="2"/>
  <c r="N334" i="2"/>
  <c r="M334" i="2"/>
  <c r="N333" i="2"/>
  <c r="M333" i="2"/>
  <c r="N332" i="2"/>
  <c r="M332" i="2"/>
  <c r="N331" i="2"/>
  <c r="M331" i="2"/>
  <c r="N330" i="2"/>
  <c r="M330" i="2"/>
  <c r="N329" i="2"/>
  <c r="M329" i="2"/>
  <c r="N328" i="2"/>
  <c r="M328" i="2"/>
  <c r="N327" i="2"/>
  <c r="M327" i="2"/>
  <c r="N326" i="2"/>
  <c r="M326" i="2"/>
  <c r="N325" i="2"/>
  <c r="M325" i="2"/>
  <c r="N324" i="2"/>
  <c r="M324" i="2"/>
  <c r="N323" i="2"/>
  <c r="M323" i="2"/>
  <c r="N322" i="2"/>
  <c r="M322" i="2"/>
  <c r="N321" i="2"/>
  <c r="M321" i="2"/>
  <c r="N320" i="2"/>
  <c r="M320" i="2"/>
  <c r="N319" i="2"/>
  <c r="M319" i="2"/>
  <c r="N318" i="2"/>
  <c r="M318" i="2"/>
  <c r="N317" i="2"/>
  <c r="M317" i="2"/>
  <c r="N316" i="2"/>
  <c r="M316" i="2"/>
  <c r="N315" i="2"/>
  <c r="M315" i="2"/>
  <c r="N314" i="2"/>
  <c r="M314" i="2"/>
  <c r="N313" i="2"/>
  <c r="M313" i="2"/>
  <c r="N312" i="2"/>
  <c r="M312" i="2"/>
  <c r="N311" i="2"/>
  <c r="M311" i="2"/>
  <c r="N310" i="2"/>
  <c r="M310" i="2"/>
  <c r="N309" i="2"/>
  <c r="M309" i="2"/>
  <c r="N308" i="2"/>
  <c r="M308" i="2"/>
  <c r="N307" i="2"/>
  <c r="M307" i="2"/>
  <c r="N306" i="2"/>
  <c r="M306" i="2"/>
  <c r="N305" i="2"/>
  <c r="M305" i="2"/>
  <c r="N304" i="2"/>
  <c r="M304" i="2"/>
  <c r="N303" i="2"/>
  <c r="M303" i="2"/>
  <c r="N302" i="2"/>
  <c r="M302" i="2"/>
  <c r="N301" i="2"/>
  <c r="M301" i="2"/>
  <c r="N300" i="2"/>
  <c r="M300" i="2"/>
  <c r="N299" i="2"/>
  <c r="M299" i="2"/>
  <c r="N298" i="2"/>
  <c r="M298" i="2"/>
  <c r="N297" i="2"/>
  <c r="M297" i="2"/>
  <c r="N296" i="2"/>
  <c r="M296" i="2"/>
  <c r="N295" i="2"/>
  <c r="M295" i="2"/>
  <c r="N294" i="2"/>
  <c r="M294" i="2"/>
  <c r="N293" i="2"/>
  <c r="M293" i="2"/>
  <c r="N292" i="2"/>
  <c r="M292" i="2"/>
  <c r="N291" i="2"/>
  <c r="M291" i="2"/>
  <c r="N290" i="2"/>
  <c r="M290" i="2"/>
  <c r="N289" i="2"/>
  <c r="M289" i="2"/>
  <c r="N288" i="2"/>
  <c r="M288" i="2"/>
  <c r="N287" i="2"/>
  <c r="M287" i="2"/>
  <c r="N286" i="2"/>
  <c r="M286" i="2"/>
  <c r="N285" i="2"/>
  <c r="M285" i="2"/>
  <c r="N284" i="2"/>
  <c r="M284" i="2"/>
  <c r="N283" i="2"/>
  <c r="M283" i="2"/>
  <c r="N282" i="2"/>
  <c r="M282" i="2"/>
  <c r="N281" i="2"/>
  <c r="M281" i="2"/>
  <c r="N280" i="2"/>
  <c r="M280" i="2"/>
  <c r="N279" i="2"/>
  <c r="M279" i="2"/>
  <c r="N278" i="2"/>
  <c r="M278" i="2"/>
  <c r="N277" i="2"/>
  <c r="M277" i="2"/>
  <c r="N276" i="2"/>
  <c r="M276" i="2"/>
  <c r="N275" i="2"/>
  <c r="M275" i="2"/>
  <c r="N274" i="2"/>
  <c r="M274" i="2"/>
  <c r="N273" i="2"/>
  <c r="M273" i="2"/>
  <c r="N272" i="2"/>
  <c r="M272" i="2"/>
  <c r="N271" i="2"/>
  <c r="M271" i="2"/>
  <c r="N270" i="2"/>
  <c r="M270" i="2"/>
  <c r="N269" i="2"/>
  <c r="M269" i="2"/>
  <c r="N268" i="2"/>
  <c r="M268" i="2"/>
  <c r="N267" i="2"/>
  <c r="M267" i="2"/>
  <c r="N266" i="2"/>
  <c r="M266" i="2"/>
  <c r="N265" i="2"/>
  <c r="M265" i="2"/>
  <c r="N264" i="2"/>
  <c r="M264" i="2"/>
  <c r="N263" i="2"/>
  <c r="M263" i="2"/>
  <c r="N262" i="2"/>
  <c r="M262" i="2"/>
  <c r="N261" i="2"/>
  <c r="M261" i="2"/>
  <c r="N260" i="2"/>
  <c r="M260" i="2"/>
  <c r="N259" i="2"/>
  <c r="M259" i="2"/>
  <c r="N258" i="2"/>
  <c r="M258" i="2"/>
  <c r="N257" i="2"/>
  <c r="M257" i="2"/>
  <c r="N256" i="2"/>
  <c r="M256" i="2"/>
  <c r="N255" i="2"/>
  <c r="M255" i="2"/>
  <c r="N254" i="2"/>
  <c r="M254" i="2"/>
  <c r="N253" i="2"/>
  <c r="M253" i="2"/>
  <c r="N252" i="2"/>
  <c r="M252" i="2"/>
  <c r="N251" i="2"/>
  <c r="M251" i="2"/>
  <c r="N250" i="2"/>
  <c r="M250" i="2"/>
  <c r="N249" i="2"/>
  <c r="M249" i="2"/>
  <c r="N248" i="2"/>
  <c r="M248" i="2"/>
  <c r="N247" i="2"/>
  <c r="M247" i="2"/>
  <c r="N246" i="2"/>
  <c r="M246" i="2"/>
  <c r="N245" i="2"/>
  <c r="M245" i="2"/>
  <c r="N244" i="2"/>
  <c r="M244" i="2"/>
  <c r="N243" i="2"/>
  <c r="M243" i="2"/>
  <c r="N242" i="2"/>
  <c r="M242" i="2"/>
  <c r="N241" i="2"/>
  <c r="M241" i="2"/>
  <c r="N240" i="2"/>
  <c r="M240" i="2"/>
  <c r="N239" i="2"/>
  <c r="M239" i="2"/>
  <c r="N238" i="2"/>
  <c r="M238" i="2"/>
  <c r="N237" i="2"/>
  <c r="M237" i="2"/>
  <c r="N236" i="2"/>
  <c r="M236" i="2"/>
  <c r="N235" i="2"/>
  <c r="M235" i="2"/>
  <c r="N234" i="2"/>
  <c r="M234" i="2"/>
  <c r="N233" i="2"/>
  <c r="M233" i="2"/>
  <c r="N232" i="2"/>
  <c r="M232" i="2"/>
  <c r="N231" i="2"/>
  <c r="M231" i="2"/>
  <c r="N230" i="2"/>
  <c r="M230" i="2"/>
  <c r="N229" i="2"/>
  <c r="M229" i="2"/>
  <c r="N228" i="2"/>
  <c r="M228" i="2"/>
  <c r="N227" i="2"/>
  <c r="M227" i="2"/>
  <c r="N226" i="2"/>
  <c r="M226" i="2"/>
  <c r="N225" i="2"/>
  <c r="M225" i="2"/>
  <c r="N224" i="2"/>
  <c r="M224" i="2"/>
  <c r="N223" i="2"/>
  <c r="M223" i="2"/>
  <c r="N222" i="2"/>
  <c r="M222" i="2"/>
  <c r="N221" i="2"/>
  <c r="M221" i="2"/>
  <c r="N220" i="2"/>
  <c r="M220" i="2"/>
  <c r="N219" i="2"/>
  <c r="M219" i="2"/>
  <c r="N218" i="2"/>
  <c r="M218" i="2"/>
  <c r="N217" i="2"/>
  <c r="M217" i="2"/>
  <c r="N216" i="2"/>
  <c r="M216" i="2"/>
  <c r="N215" i="2"/>
  <c r="M215" i="2"/>
  <c r="N214" i="2"/>
  <c r="M214" i="2"/>
  <c r="N213" i="2"/>
  <c r="M213" i="2"/>
  <c r="N212" i="2"/>
  <c r="M212" i="2"/>
  <c r="N211" i="2"/>
  <c r="M211" i="2"/>
  <c r="N210" i="2"/>
  <c r="M210" i="2"/>
  <c r="N209" i="2"/>
  <c r="M209" i="2"/>
  <c r="N208" i="2"/>
  <c r="M208" i="2"/>
  <c r="N207" i="2"/>
  <c r="M207" i="2"/>
  <c r="N206" i="2"/>
  <c r="M206" i="2"/>
  <c r="N205" i="2"/>
  <c r="M205" i="2"/>
  <c r="N204" i="2"/>
  <c r="M204" i="2"/>
  <c r="N203" i="2"/>
  <c r="M203" i="2"/>
  <c r="N202" i="2"/>
  <c r="M202" i="2"/>
  <c r="N201" i="2"/>
  <c r="M201" i="2"/>
  <c r="N200" i="2"/>
  <c r="M200" i="2"/>
  <c r="N199" i="2"/>
  <c r="M199" i="2"/>
  <c r="N198" i="2"/>
  <c r="M198" i="2"/>
  <c r="N197" i="2"/>
  <c r="M197" i="2"/>
  <c r="N196" i="2"/>
  <c r="M196" i="2"/>
  <c r="N195" i="2"/>
  <c r="M195" i="2"/>
  <c r="N194" i="2"/>
  <c r="M194" i="2"/>
  <c r="N193" i="2"/>
  <c r="M193" i="2"/>
  <c r="N192" i="2"/>
  <c r="M192" i="2"/>
  <c r="N191" i="2"/>
  <c r="M191" i="2"/>
  <c r="N190" i="2"/>
  <c r="M190" i="2"/>
  <c r="N189" i="2"/>
  <c r="M189" i="2"/>
  <c r="N188" i="2"/>
  <c r="M188" i="2"/>
  <c r="N187" i="2"/>
  <c r="M187" i="2"/>
  <c r="N186" i="2"/>
  <c r="M186" i="2"/>
  <c r="N185" i="2"/>
  <c r="M185" i="2"/>
  <c r="N184" i="2"/>
  <c r="M184" i="2"/>
  <c r="N183" i="2"/>
  <c r="M183" i="2"/>
  <c r="N182" i="2"/>
  <c r="M182" i="2"/>
  <c r="N181" i="2"/>
  <c r="M181" i="2"/>
  <c r="N180" i="2"/>
  <c r="M180" i="2"/>
  <c r="N179" i="2"/>
  <c r="M179" i="2"/>
  <c r="N178" i="2"/>
  <c r="M178" i="2"/>
  <c r="N177" i="2"/>
  <c r="M177" i="2"/>
  <c r="N176" i="2"/>
  <c r="M176" i="2"/>
  <c r="N175" i="2"/>
  <c r="M175" i="2"/>
  <c r="N174" i="2"/>
  <c r="M174" i="2"/>
  <c r="N173" i="2"/>
  <c r="M173" i="2"/>
  <c r="N172" i="2"/>
  <c r="M172" i="2"/>
  <c r="N171" i="2"/>
  <c r="M171" i="2"/>
  <c r="N170" i="2"/>
  <c r="M170" i="2"/>
  <c r="N169" i="2"/>
  <c r="M169" i="2"/>
  <c r="N168" i="2"/>
  <c r="M168" i="2"/>
  <c r="N167" i="2"/>
  <c r="M167" i="2"/>
  <c r="N166" i="2"/>
  <c r="M166" i="2"/>
  <c r="N165" i="2"/>
  <c r="M165" i="2"/>
  <c r="N164" i="2"/>
  <c r="M164" i="2"/>
  <c r="N163" i="2"/>
  <c r="M163" i="2"/>
  <c r="N162" i="2"/>
  <c r="M162" i="2"/>
  <c r="N161" i="2"/>
  <c r="M161" i="2"/>
  <c r="N160" i="2"/>
  <c r="M160" i="2"/>
  <c r="N159" i="2"/>
  <c r="M159" i="2"/>
  <c r="N158" i="2"/>
  <c r="M158" i="2"/>
  <c r="N157" i="2"/>
  <c r="M157" i="2"/>
  <c r="N156" i="2"/>
  <c r="M156" i="2"/>
  <c r="N155" i="2"/>
  <c r="M155" i="2"/>
  <c r="N154" i="2"/>
  <c r="M154" i="2"/>
  <c r="N153" i="2"/>
  <c r="M153" i="2"/>
  <c r="N152" i="2"/>
  <c r="M152" i="2"/>
  <c r="N151" i="2"/>
  <c r="M151" i="2"/>
  <c r="N150" i="2"/>
  <c r="M150" i="2"/>
  <c r="N149" i="2"/>
  <c r="M149" i="2"/>
  <c r="N148" i="2"/>
  <c r="M148" i="2"/>
  <c r="N147" i="2"/>
  <c r="M147" i="2"/>
  <c r="N146" i="2"/>
  <c r="M146" i="2"/>
  <c r="N145" i="2"/>
  <c r="M145" i="2"/>
  <c r="N144" i="2"/>
  <c r="M144" i="2"/>
  <c r="N143" i="2"/>
  <c r="M143" i="2"/>
  <c r="N142" i="2"/>
  <c r="M142" i="2"/>
  <c r="N141" i="2"/>
  <c r="M141" i="2"/>
  <c r="N140" i="2"/>
  <c r="M140" i="2"/>
  <c r="N139" i="2"/>
  <c r="M139" i="2"/>
  <c r="N138" i="2"/>
  <c r="M138" i="2"/>
  <c r="N137" i="2"/>
  <c r="M137" i="2"/>
  <c r="N136" i="2"/>
  <c r="M136" i="2"/>
  <c r="N135" i="2"/>
  <c r="M135" i="2"/>
  <c r="N134" i="2"/>
  <c r="M134" i="2"/>
  <c r="N133" i="2"/>
  <c r="M133" i="2"/>
  <c r="N132" i="2"/>
  <c r="M132" i="2"/>
  <c r="N131" i="2"/>
  <c r="M131" i="2"/>
  <c r="N130" i="2"/>
  <c r="M130" i="2"/>
  <c r="N129" i="2"/>
  <c r="M129" i="2"/>
  <c r="N128" i="2"/>
  <c r="M128" i="2"/>
  <c r="N127" i="2"/>
  <c r="M127" i="2"/>
  <c r="N126" i="2"/>
  <c r="M126" i="2"/>
  <c r="N125" i="2"/>
  <c r="M125" i="2"/>
  <c r="N124" i="2"/>
  <c r="M124" i="2"/>
  <c r="N123" i="2"/>
  <c r="M123" i="2"/>
  <c r="N122" i="2"/>
  <c r="M122" i="2"/>
  <c r="N121" i="2"/>
  <c r="M121" i="2"/>
  <c r="N120" i="2"/>
  <c r="M120" i="2"/>
  <c r="N119" i="2"/>
  <c r="M119" i="2"/>
  <c r="N118" i="2"/>
  <c r="M118" i="2"/>
  <c r="N117" i="2"/>
  <c r="M117" i="2"/>
  <c r="N116" i="2"/>
  <c r="M116" i="2"/>
  <c r="N115" i="2"/>
  <c r="M115" i="2"/>
  <c r="N114" i="2"/>
  <c r="M114" i="2"/>
  <c r="N113" i="2"/>
  <c r="M113" i="2"/>
  <c r="G35" i="3" s="1"/>
  <c r="N112" i="2"/>
  <c r="M112" i="2"/>
  <c r="N111" i="2"/>
  <c r="M111" i="2"/>
  <c r="N110" i="2"/>
  <c r="M110" i="2"/>
  <c r="N109" i="2"/>
  <c r="M109" i="2"/>
  <c r="N108" i="2"/>
  <c r="M108" i="2"/>
  <c r="N107" i="2"/>
  <c r="M107" i="2"/>
  <c r="N106" i="2"/>
  <c r="M106" i="2"/>
  <c r="N105" i="2"/>
  <c r="M105" i="2"/>
  <c r="N104" i="2"/>
  <c r="M104" i="2"/>
  <c r="N103" i="2"/>
  <c r="M103" i="2"/>
  <c r="N102" i="2"/>
  <c r="M102" i="2"/>
  <c r="N101" i="2"/>
  <c r="M101" i="2"/>
  <c r="N100" i="2"/>
  <c r="M100" i="2"/>
  <c r="N99" i="2"/>
  <c r="M99" i="2"/>
  <c r="N98" i="2"/>
  <c r="M98" i="2"/>
  <c r="N97" i="2"/>
  <c r="M97" i="2"/>
  <c r="N96" i="2"/>
  <c r="M96" i="2"/>
  <c r="N95" i="2"/>
  <c r="M95" i="2"/>
  <c r="N94" i="2"/>
  <c r="M94" i="2"/>
  <c r="N93" i="2"/>
  <c r="M93" i="2"/>
  <c r="N92" i="2"/>
  <c r="M92" i="2"/>
  <c r="N91" i="2"/>
  <c r="M91" i="2"/>
  <c r="N90" i="2"/>
  <c r="M90" i="2"/>
  <c r="N89" i="2"/>
  <c r="M89" i="2"/>
  <c r="N88" i="2"/>
  <c r="M88" i="2"/>
  <c r="N87" i="2"/>
  <c r="M87" i="2"/>
  <c r="N86" i="2"/>
  <c r="M86" i="2"/>
  <c r="N85" i="2"/>
  <c r="M85" i="2"/>
  <c r="N84" i="2"/>
  <c r="M84" i="2"/>
  <c r="N83" i="2"/>
  <c r="M83" i="2"/>
  <c r="G26" i="3" s="1"/>
  <c r="N82" i="2"/>
  <c r="M82" i="2"/>
  <c r="N81" i="2"/>
  <c r="M81" i="2"/>
  <c r="N80" i="2"/>
  <c r="M80" i="2"/>
  <c r="N79" i="2"/>
  <c r="M79" i="2"/>
  <c r="N78" i="2"/>
  <c r="M78" i="2"/>
  <c r="N77" i="2"/>
  <c r="M77" i="2"/>
  <c r="G34" i="3" s="1"/>
  <c r="N76" i="2"/>
  <c r="M76" i="2"/>
  <c r="N75" i="2"/>
  <c r="M75" i="2"/>
  <c r="N74" i="2"/>
  <c r="M74" i="2"/>
  <c r="N73" i="2"/>
  <c r="M73" i="2"/>
  <c r="N72" i="2"/>
  <c r="M72" i="2"/>
  <c r="N71" i="2"/>
  <c r="M71" i="2"/>
  <c r="N70" i="2"/>
  <c r="M70" i="2"/>
  <c r="N69" i="2"/>
  <c r="M69" i="2"/>
  <c r="N68" i="2"/>
  <c r="M68" i="2"/>
  <c r="N67" i="2"/>
  <c r="M67" i="2"/>
  <c r="N66" i="2"/>
  <c r="C18" i="4" s="1"/>
  <c r="M66" i="2"/>
  <c r="C17" i="4" s="1"/>
  <c r="N65" i="2"/>
  <c r="M65" i="2"/>
  <c r="N64" i="2"/>
  <c r="M64" i="2"/>
  <c r="N63" i="2"/>
  <c r="M63" i="2"/>
  <c r="N62" i="2"/>
  <c r="M62" i="2"/>
  <c r="N61" i="2"/>
  <c r="M61" i="2"/>
  <c r="N60" i="2"/>
  <c r="M60" i="2"/>
  <c r="N59" i="2"/>
  <c r="M59" i="2"/>
  <c r="N58" i="2"/>
  <c r="M58" i="2"/>
  <c r="N57" i="2"/>
  <c r="M57" i="2"/>
  <c r="N56" i="2"/>
  <c r="M56" i="2"/>
  <c r="N55" i="2"/>
  <c r="M55" i="2"/>
  <c r="N54" i="2"/>
  <c r="M54" i="2"/>
  <c r="N53" i="2"/>
  <c r="M53" i="2"/>
  <c r="N52" i="2"/>
  <c r="M52" i="2"/>
  <c r="N51" i="2"/>
  <c r="M51" i="2"/>
  <c r="N50" i="2"/>
  <c r="M50" i="2"/>
  <c r="N49" i="2"/>
  <c r="M49" i="2"/>
  <c r="N48" i="2"/>
  <c r="M48" i="2"/>
  <c r="G42" i="3" s="1"/>
  <c r="N47" i="2"/>
  <c r="M47" i="2"/>
  <c r="N46" i="2"/>
  <c r="M46" i="2"/>
  <c r="N45" i="2"/>
  <c r="M45" i="2"/>
  <c r="N44" i="2"/>
  <c r="M44" i="2"/>
  <c r="G33" i="3" s="1"/>
  <c r="N43" i="2"/>
  <c r="M43" i="2"/>
  <c r="G39" i="3" s="1"/>
  <c r="N42" i="2"/>
  <c r="M42" i="2"/>
  <c r="N41" i="2"/>
  <c r="M41" i="2"/>
  <c r="N40" i="2"/>
  <c r="M40" i="2"/>
  <c r="N39" i="2"/>
  <c r="M39" i="2"/>
  <c r="N38" i="2"/>
  <c r="M38" i="2"/>
  <c r="N37" i="2"/>
  <c r="M37" i="2"/>
  <c r="N36" i="2"/>
  <c r="M36" i="2"/>
  <c r="G43" i="3" s="1"/>
  <c r="N35" i="2"/>
  <c r="M35" i="2"/>
  <c r="N34" i="2"/>
  <c r="M34" i="2"/>
  <c r="N33" i="2"/>
  <c r="M33" i="2"/>
  <c r="G44" i="3" s="1"/>
  <c r="N32" i="2"/>
  <c r="M32" i="2"/>
  <c r="N31" i="2"/>
  <c r="M31" i="2"/>
  <c r="N30" i="2"/>
  <c r="M30" i="2"/>
  <c r="N29" i="2"/>
  <c r="M29" i="2"/>
  <c r="N28" i="2"/>
  <c r="M28" i="2"/>
  <c r="N27" i="2"/>
  <c r="M27" i="2"/>
  <c r="N26" i="2"/>
  <c r="M26" i="2"/>
  <c r="N25" i="2"/>
  <c r="M25" i="2"/>
  <c r="N24" i="2"/>
  <c r="M24" i="2"/>
  <c r="N23" i="2"/>
  <c r="M23" i="2"/>
  <c r="G29" i="3" s="1"/>
  <c r="N22" i="2"/>
  <c r="M22" i="2"/>
  <c r="N21" i="2"/>
  <c r="M21" i="2"/>
  <c r="N20" i="2"/>
  <c r="M20" i="2"/>
  <c r="G45" i="3" s="1"/>
  <c r="N19" i="2"/>
  <c r="M19" i="2"/>
  <c r="G28" i="3" s="1"/>
  <c r="N18" i="2"/>
  <c r="M18" i="2"/>
  <c r="G31" i="3" s="1"/>
  <c r="N17" i="2"/>
  <c r="M17" i="2"/>
  <c r="N16" i="2"/>
  <c r="M16" i="2"/>
  <c r="G25" i="3" s="1"/>
  <c r="M15" i="2"/>
  <c r="N14" i="2"/>
  <c r="M14" i="2"/>
  <c r="G30" i="3" s="1"/>
  <c r="N13" i="2"/>
  <c r="M13" i="2"/>
  <c r="N12" i="2"/>
  <c r="M12" i="2"/>
  <c r="G24" i="3" s="1"/>
  <c r="N11" i="2"/>
  <c r="M11" i="2"/>
  <c r="G46" i="3" s="1"/>
  <c r="N10" i="2"/>
  <c r="M10" i="2"/>
  <c r="G37" i="3" s="1"/>
  <c r="N9" i="2"/>
  <c r="M9" i="2"/>
  <c r="G27" i="3" s="1"/>
  <c r="N8" i="2"/>
  <c r="M8" i="2"/>
  <c r="G36" i="3" s="1"/>
  <c r="N7" i="2"/>
  <c r="M7" i="2"/>
  <c r="N6" i="2"/>
  <c r="M6" i="2"/>
  <c r="G40" i="3" s="1"/>
  <c r="N5" i="2"/>
  <c r="M5" i="2"/>
  <c r="G38" i="3" s="1"/>
  <c r="N4" i="2"/>
  <c r="N3" i="2"/>
  <c r="M3" i="2"/>
  <c r="G23" i="3" s="1"/>
  <c r="N2" i="2"/>
  <c r="M2" i="2"/>
  <c r="G32" i="3" s="1"/>
  <c r="G8" i="3" l="1"/>
  <c r="E16" i="5"/>
  <c r="L13" i="6"/>
  <c r="G13" i="3"/>
  <c r="L14" i="6"/>
  <c r="G12" i="3"/>
  <c r="L11" i="6"/>
  <c r="G11" i="3"/>
  <c r="G7" i="3"/>
  <c r="F12" i="6"/>
  <c r="G18" i="3"/>
  <c r="G10" i="3"/>
  <c r="L18" i="6"/>
  <c r="D14" i="5"/>
  <c r="F15" i="5"/>
  <c r="D16" i="5"/>
  <c r="G6" i="3"/>
  <c r="L15" i="6"/>
  <c r="F14" i="6"/>
  <c r="L12" i="6"/>
  <c r="F17" i="5"/>
  <c r="E17" i="5"/>
  <c r="D17" i="5"/>
  <c r="E14" i="5"/>
  <c r="F13" i="6"/>
  <c r="F14" i="5"/>
  <c r="J6" i="6"/>
  <c r="G5" i="3"/>
  <c r="G9" i="3"/>
  <c r="G15" i="3"/>
  <c r="G17" i="3"/>
  <c r="C18" i="5"/>
  <c r="E18" i="5" s="1"/>
  <c r="L16" i="6"/>
  <c r="D15" i="5"/>
  <c r="E15" i="5"/>
  <c r="C19" i="5"/>
  <c r="F11" i="6"/>
  <c r="F15" i="6"/>
  <c r="L17" i="6"/>
  <c r="D19" i="5"/>
  <c r="G4" i="3"/>
  <c r="G14" i="3"/>
  <c r="G16" i="3"/>
  <c r="F18" i="5" l="1"/>
  <c r="D18" i="5"/>
</calcChain>
</file>

<file path=xl/sharedStrings.xml><?xml version="1.0" encoding="utf-8"?>
<sst xmlns="http://schemas.openxmlformats.org/spreadsheetml/2006/main" count="3188" uniqueCount="1082">
  <si>
    <t>Supplier ID</t>
  </si>
  <si>
    <t>Supplier Name</t>
  </si>
  <si>
    <t>Category</t>
  </si>
  <si>
    <t>Supplier Tier</t>
  </si>
  <si>
    <t>Country</t>
  </si>
  <si>
    <t>Category Manager</t>
  </si>
  <si>
    <t>Unit Cost (£)</t>
  </si>
  <si>
    <t>Lead Days</t>
  </si>
  <si>
    <t>On-Time Delivery (%)</t>
  </si>
  <si>
    <t>Annual Orders</t>
  </si>
  <si>
    <t>Annual Spend (£)</t>
  </si>
  <si>
    <t>Contract Expiry</t>
  </si>
  <si>
    <t>Health Flag</t>
  </si>
  <si>
    <t>Cost Band</t>
  </si>
  <si>
    <t>SUP-0001</t>
  </si>
  <si>
    <t>Rapid Materials 001</t>
  </si>
  <si>
    <t>Raw Materials</t>
  </si>
  <si>
    <t>Tier 1</t>
  </si>
  <si>
    <t>India</t>
  </si>
  <si>
    <t>Sarah Chen</t>
  </si>
  <si>
    <t>SUP-0002</t>
  </si>
  <si>
    <t>Euro Trading 002</t>
  </si>
  <si>
    <t>China</t>
  </si>
  <si>
    <t>SUP-0003</t>
  </si>
  <si>
    <t>Nexus Partners 003</t>
  </si>
  <si>
    <t>Office Supplies</t>
  </si>
  <si>
    <t>UK</t>
  </si>
  <si>
    <t>Elena Rossi</t>
  </si>
  <si>
    <t>SUP-0004</t>
  </si>
  <si>
    <t>Metro Dynamics 004</t>
  </si>
  <si>
    <t>Logistics</t>
  </si>
  <si>
    <t>Netherlands</t>
  </si>
  <si>
    <t>SUP-0005</t>
  </si>
  <si>
    <t>Rapid Partners 005</t>
  </si>
  <si>
    <t>Tier 3</t>
  </si>
  <si>
    <t>SUP-0006</t>
  </si>
  <si>
    <t>Apex Solutions 006</t>
  </si>
  <si>
    <t>SUP-0007</t>
  </si>
  <si>
    <t>Eco Group 007</t>
  </si>
  <si>
    <t>IT Equipment</t>
  </si>
  <si>
    <t>Tier 2</t>
  </si>
  <si>
    <t>Poland</t>
  </si>
  <si>
    <t>Tom Mwangi</t>
  </si>
  <si>
    <t>SUP-0008</t>
  </si>
  <si>
    <t>Summit Industries 008</t>
  </si>
  <si>
    <t>France</t>
  </si>
  <si>
    <t>SUP-0009</t>
  </si>
  <si>
    <t>Global Trading 009</t>
  </si>
  <si>
    <t>Packaging</t>
  </si>
  <si>
    <t>SUP-0010</t>
  </si>
  <si>
    <t>Rapid Materials 010</t>
  </si>
  <si>
    <t>Vietnam</t>
  </si>
  <si>
    <t>SUP-0011</t>
  </si>
  <si>
    <t>Omega Group 011</t>
  </si>
  <si>
    <t>SUP-0012</t>
  </si>
  <si>
    <t>Pacific Dynamics 012</t>
  </si>
  <si>
    <t>SUP-0013</t>
  </si>
  <si>
    <t>Omega Solutions 013</t>
  </si>
  <si>
    <t>Germany</t>
  </si>
  <si>
    <t>SUP-0014</t>
  </si>
  <si>
    <t>United Supplies 014</t>
  </si>
  <si>
    <t>SUP-0015</t>
  </si>
  <si>
    <t>Alpha Holdings 015</t>
  </si>
  <si>
    <t>SUP-0016</t>
  </si>
  <si>
    <t>Euro Industries 016</t>
  </si>
  <si>
    <t>SUP-0017</t>
  </si>
  <si>
    <t>Nexus Group 017</t>
  </si>
  <si>
    <t>SUP-0018</t>
  </si>
  <si>
    <t>Nordic Materials 018</t>
  </si>
  <si>
    <t>SUP-0019</t>
  </si>
  <si>
    <t>Rapid Partners 019</t>
  </si>
  <si>
    <t>SUP-0020</t>
  </si>
  <si>
    <t>United Partners 020</t>
  </si>
  <si>
    <t>SUP-0021</t>
  </si>
  <si>
    <t>Euro Trading 021</t>
  </si>
  <si>
    <t>SUP-0022</t>
  </si>
  <si>
    <t>Omega Industries 022</t>
  </si>
  <si>
    <t>SUP-0023</t>
  </si>
  <si>
    <t>Prime Solutions 023</t>
  </si>
  <si>
    <t>SUP-0024</t>
  </si>
  <si>
    <t>Precision Industries 024</t>
  </si>
  <si>
    <t>SUP-0025</t>
  </si>
  <si>
    <t>Beta Group 025</t>
  </si>
  <si>
    <t>SUP-0026</t>
  </si>
  <si>
    <t>Precision Trading 026</t>
  </si>
  <si>
    <t>SUP-0027</t>
  </si>
  <si>
    <t>Beta Industries 027</t>
  </si>
  <si>
    <t>SUP-0028</t>
  </si>
  <si>
    <t>Eco Supplies 028</t>
  </si>
  <si>
    <t>SUP-0029</t>
  </si>
  <si>
    <t>Summit Solutions 029</t>
  </si>
  <si>
    <t>SUP-0030</t>
  </si>
  <si>
    <t>Metro Logistics 030</t>
  </si>
  <si>
    <t>SUP-0031</t>
  </si>
  <si>
    <t>Delta Partners 031</t>
  </si>
  <si>
    <t>SUP-0032</t>
  </si>
  <si>
    <t>Alpha Dynamics 032</t>
  </si>
  <si>
    <t>SUP-0033</t>
  </si>
  <si>
    <t>Precision Group 033</t>
  </si>
  <si>
    <t>SUP-0034</t>
  </si>
  <si>
    <t>United Trading 034</t>
  </si>
  <si>
    <t>SUP-0035</t>
  </si>
  <si>
    <t>Summit Group 035</t>
  </si>
  <si>
    <t>SUP-0036</t>
  </si>
  <si>
    <t>Nexus Dynamics 036</t>
  </si>
  <si>
    <t>SUP-0037</t>
  </si>
  <si>
    <t>Core Partners 037</t>
  </si>
  <si>
    <t>SUP-0038</t>
  </si>
  <si>
    <t>Euro Group 038</t>
  </si>
  <si>
    <t>SUP-0039</t>
  </si>
  <si>
    <t>Euro Solutions 039</t>
  </si>
  <si>
    <t>SUP-0040</t>
  </si>
  <si>
    <t>Metro Logistics 040</t>
  </si>
  <si>
    <t>SUP-0041</t>
  </si>
  <si>
    <t>Delta Solutions 041</t>
  </si>
  <si>
    <t>SUP-0042</t>
  </si>
  <si>
    <t>Omega Solutions 042</t>
  </si>
  <si>
    <t>SUP-0043</t>
  </si>
  <si>
    <t>Stellar Holdings 043</t>
  </si>
  <si>
    <t>SUP-0044</t>
  </si>
  <si>
    <t>Core Materials 044</t>
  </si>
  <si>
    <t>SUP-0045</t>
  </si>
  <si>
    <t>United Solutions 045</t>
  </si>
  <si>
    <t>SUP-0046</t>
  </si>
  <si>
    <t>Prime Holdings 046</t>
  </si>
  <si>
    <t>SUP-0047</t>
  </si>
  <si>
    <t>Metro Trading 047</t>
  </si>
  <si>
    <t>SUP-0048</t>
  </si>
  <si>
    <t>Nordic Dynamics 048</t>
  </si>
  <si>
    <t>SUP-0049</t>
  </si>
  <si>
    <t>Beta Partners 049</t>
  </si>
  <si>
    <t>SUP-0050</t>
  </si>
  <si>
    <t>Allied Materials 050</t>
  </si>
  <si>
    <t>SUP-0051</t>
  </si>
  <si>
    <t>Euro Group 051</t>
  </si>
  <si>
    <t>SUP-0052</t>
  </si>
  <si>
    <t>United Dynamics 052</t>
  </si>
  <si>
    <t>SUP-0053</t>
  </si>
  <si>
    <t>Prime Trading 053</t>
  </si>
  <si>
    <t>SUP-0054</t>
  </si>
  <si>
    <t>Euro Solutions 054</t>
  </si>
  <si>
    <t>SUP-0055</t>
  </si>
  <si>
    <t>Nexus Group 055</t>
  </si>
  <si>
    <t>SUP-0056</t>
  </si>
  <si>
    <t>Stellar Industries 056</t>
  </si>
  <si>
    <t>SUP-0057</t>
  </si>
  <si>
    <t>Allied Industries 057</t>
  </si>
  <si>
    <t>SUP-0058</t>
  </si>
  <si>
    <t>Allied Partners 058</t>
  </si>
  <si>
    <t>SUP-0059</t>
  </si>
  <si>
    <t>Metro Group 059</t>
  </si>
  <si>
    <t>SUP-0060</t>
  </si>
  <si>
    <t>Nexus Trading 060</t>
  </si>
  <si>
    <t>SUP-0061</t>
  </si>
  <si>
    <t>Pacific Materials 061</t>
  </si>
  <si>
    <t>SUP-0062</t>
  </si>
  <si>
    <t>Euro Supplies 062</t>
  </si>
  <si>
    <t>SUP-0063</t>
  </si>
  <si>
    <t>Allied Supplies 063</t>
  </si>
  <si>
    <t>SUP-0064</t>
  </si>
  <si>
    <t>Prime Solutions 064</t>
  </si>
  <si>
    <t>SUP-0065</t>
  </si>
  <si>
    <t>Delta Holdings 065</t>
  </si>
  <si>
    <t>SUP-0066</t>
  </si>
  <si>
    <t>Core Dynamics 066</t>
  </si>
  <si>
    <t>SUP-0067</t>
  </si>
  <si>
    <t>Omega Materials 067</t>
  </si>
  <si>
    <t>SUP-0068</t>
  </si>
  <si>
    <t>Eco Dynamics 068</t>
  </si>
  <si>
    <t>SUP-0069</t>
  </si>
  <si>
    <t>Metro Partners 069</t>
  </si>
  <si>
    <t>SUP-0070</t>
  </si>
  <si>
    <t>Global Logistics 070</t>
  </si>
  <si>
    <t>SUP-0071</t>
  </si>
  <si>
    <t>Stellar Trading 071</t>
  </si>
  <si>
    <t>SUP-0072</t>
  </si>
  <si>
    <t>Nordic Partners 072</t>
  </si>
  <si>
    <t>SUP-0073</t>
  </si>
  <si>
    <t>Stellar Dynamics 073</t>
  </si>
  <si>
    <t>SUP-0074</t>
  </si>
  <si>
    <t>Summit Supplies 074</t>
  </si>
  <si>
    <t>SUP-0075</t>
  </si>
  <si>
    <t>Eco Solutions 075</t>
  </si>
  <si>
    <t>SUP-0076</t>
  </si>
  <si>
    <t>Nexus Solutions 076</t>
  </si>
  <si>
    <t>SUP-0077</t>
  </si>
  <si>
    <t>Omega Industries 077</t>
  </si>
  <si>
    <t>SUP-0078</t>
  </si>
  <si>
    <t>Omega Supplies 078</t>
  </si>
  <si>
    <t>SUP-0079</t>
  </si>
  <si>
    <t>Euro Supplies 079</t>
  </si>
  <si>
    <t>SUP-0080</t>
  </si>
  <si>
    <t>Rapid Materials 080</t>
  </si>
  <si>
    <t>SUP-0081</t>
  </si>
  <si>
    <t>Global Solutions 081</t>
  </si>
  <si>
    <t>SUP-0082</t>
  </si>
  <si>
    <t>Nordic Industries 082</t>
  </si>
  <si>
    <t>SUP-0083</t>
  </si>
  <si>
    <t>Rapid Partners 083</t>
  </si>
  <si>
    <t>SUP-0084</t>
  </si>
  <si>
    <t>Beta Group 084</t>
  </si>
  <si>
    <t>SUP-0085</t>
  </si>
  <si>
    <t>Pacific Dynamics 085</t>
  </si>
  <si>
    <t>SUP-0086</t>
  </si>
  <si>
    <t>Alpha Supplies 086</t>
  </si>
  <si>
    <t>SUP-0087</t>
  </si>
  <si>
    <t>Prime Trading 087</t>
  </si>
  <si>
    <t>SUP-0088</t>
  </si>
  <si>
    <t>Delta Trading 088</t>
  </si>
  <si>
    <t>SUP-0089</t>
  </si>
  <si>
    <t>Nordic Materials 089</t>
  </si>
  <si>
    <t>SUP-0090</t>
  </si>
  <si>
    <t>United Industries 090</t>
  </si>
  <si>
    <t>SUP-0091</t>
  </si>
  <si>
    <t>Beta Partners 091</t>
  </si>
  <si>
    <t>SUP-0092</t>
  </si>
  <si>
    <t>Prime Solutions 092</t>
  </si>
  <si>
    <t>SUP-0093</t>
  </si>
  <si>
    <t>Nexus Trading 093</t>
  </si>
  <si>
    <t>SUP-0094</t>
  </si>
  <si>
    <t>Precision Group 094</t>
  </si>
  <si>
    <t>SUP-0095</t>
  </si>
  <si>
    <t>Summit Dynamics 095</t>
  </si>
  <si>
    <t>SUP-0096</t>
  </si>
  <si>
    <t>Nexus Trading 096</t>
  </si>
  <si>
    <t>SUP-0097</t>
  </si>
  <si>
    <t>Global Partners 097</t>
  </si>
  <si>
    <t>SUP-0098</t>
  </si>
  <si>
    <t>Apex Group 098</t>
  </si>
  <si>
    <t>SUP-0099</t>
  </si>
  <si>
    <t>Omega Dynamics 099</t>
  </si>
  <si>
    <t>SUP-0100</t>
  </si>
  <si>
    <t>Pacific Logistics 100</t>
  </si>
  <si>
    <t>SUP-0101</t>
  </si>
  <si>
    <t>Summit Trading 101</t>
  </si>
  <si>
    <t>SUP-0102</t>
  </si>
  <si>
    <t>Stellar Supplies 102</t>
  </si>
  <si>
    <t>SUP-0103</t>
  </si>
  <si>
    <t>Core Logistics 103</t>
  </si>
  <si>
    <t>SUP-0104</t>
  </si>
  <si>
    <t>Eco Materials 104</t>
  </si>
  <si>
    <t>SUP-0105</t>
  </si>
  <si>
    <t>Metro Solutions 105</t>
  </si>
  <si>
    <t>SUP-0106</t>
  </si>
  <si>
    <t>Core Holdings 106</t>
  </si>
  <si>
    <t>SUP-0107</t>
  </si>
  <si>
    <t>Allied Supplies 107</t>
  </si>
  <si>
    <t>SUP-0108</t>
  </si>
  <si>
    <t>Pacific Industries 108</t>
  </si>
  <si>
    <t>SUP-0109</t>
  </si>
  <si>
    <t>Euro Holdings 109</t>
  </si>
  <si>
    <t>SUP-0110</t>
  </si>
  <si>
    <t>Omega Industries 110</t>
  </si>
  <si>
    <t>SUP-0111</t>
  </si>
  <si>
    <t>Summit Materials 111</t>
  </si>
  <si>
    <t>SUP-0112</t>
  </si>
  <si>
    <t>Allied Solutions 112</t>
  </si>
  <si>
    <t>SUP-0113</t>
  </si>
  <si>
    <t>Precision Logistics 113</t>
  </si>
  <si>
    <t>SUP-0114</t>
  </si>
  <si>
    <t>Rapid Materials 114</t>
  </si>
  <si>
    <t>SUP-0115</t>
  </si>
  <si>
    <t>Eco Partners 115</t>
  </si>
  <si>
    <t>SUP-0116</t>
  </si>
  <si>
    <t>Beta Industries 116</t>
  </si>
  <si>
    <t>SUP-0117</t>
  </si>
  <si>
    <t>Core Dynamics 117</t>
  </si>
  <si>
    <t>SUP-0118</t>
  </si>
  <si>
    <t>Pacific Industries 118</t>
  </si>
  <si>
    <t>SUP-0119</t>
  </si>
  <si>
    <t>Precision Logistics 119</t>
  </si>
  <si>
    <t>SUP-0120</t>
  </si>
  <si>
    <t>Eco Industries 120</t>
  </si>
  <si>
    <t>SUP-0121</t>
  </si>
  <si>
    <t>Rapid Partners 121</t>
  </si>
  <si>
    <t>SUP-0122</t>
  </si>
  <si>
    <t>Nexus Dynamics 122</t>
  </si>
  <si>
    <t>SUP-0123</t>
  </si>
  <si>
    <t>Rapid Logistics 123</t>
  </si>
  <si>
    <t>SUP-0124</t>
  </si>
  <si>
    <t>Allied Trading 124</t>
  </si>
  <si>
    <t>SUP-0125</t>
  </si>
  <si>
    <t>Nordic Trading 125</t>
  </si>
  <si>
    <t>SUP-0126</t>
  </si>
  <si>
    <t>Delta Supplies 126</t>
  </si>
  <si>
    <t>SUP-0127</t>
  </si>
  <si>
    <t>Apex Holdings 127</t>
  </si>
  <si>
    <t>SUP-0128</t>
  </si>
  <si>
    <t>Stellar Trading 128</t>
  </si>
  <si>
    <t>SUP-0129</t>
  </si>
  <si>
    <t>Pacific Logistics 129</t>
  </si>
  <si>
    <t>SUP-0130</t>
  </si>
  <si>
    <t>Core Group 130</t>
  </si>
  <si>
    <t>SUP-0131</t>
  </si>
  <si>
    <t>Beta Solutions 131</t>
  </si>
  <si>
    <t>SUP-0132</t>
  </si>
  <si>
    <t>Omega Logistics 132</t>
  </si>
  <si>
    <t>SUP-0133</t>
  </si>
  <si>
    <t>Eco Solutions 133</t>
  </si>
  <si>
    <t>SUP-0134</t>
  </si>
  <si>
    <t>Rapid Materials 134</t>
  </si>
  <si>
    <t>SUP-0135</t>
  </si>
  <si>
    <t>Summit Group 135</t>
  </si>
  <si>
    <t>SUP-0136</t>
  </si>
  <si>
    <t>Nexus Group 136</t>
  </si>
  <si>
    <t>SUP-0137</t>
  </si>
  <si>
    <t>Stellar Solutions 137</t>
  </si>
  <si>
    <t>SUP-0138</t>
  </si>
  <si>
    <t>United Solutions 138</t>
  </si>
  <si>
    <t>SUP-0139</t>
  </si>
  <si>
    <t>Pacific Solutions 139</t>
  </si>
  <si>
    <t>SUP-0140</t>
  </si>
  <si>
    <t>United Dynamics 140</t>
  </si>
  <si>
    <t>SUP-0141</t>
  </si>
  <si>
    <t>Rapid Materials 141</t>
  </si>
  <si>
    <t>SUP-0142</t>
  </si>
  <si>
    <t>Eco Trading 142</t>
  </si>
  <si>
    <t>SUP-0143</t>
  </si>
  <si>
    <t>Nordic Logistics 143</t>
  </si>
  <si>
    <t>SUP-0144</t>
  </si>
  <si>
    <t>Core Logistics 144</t>
  </si>
  <si>
    <t>SUP-0145</t>
  </si>
  <si>
    <t>Prime Trading 145</t>
  </si>
  <si>
    <t>SUP-0146</t>
  </si>
  <si>
    <t>Summit Group 146</t>
  </si>
  <si>
    <t>SUP-0147</t>
  </si>
  <si>
    <t>United Supplies 147</t>
  </si>
  <si>
    <t>SUP-0148</t>
  </si>
  <si>
    <t>Eco Holdings 148</t>
  </si>
  <si>
    <t>SUP-0149</t>
  </si>
  <si>
    <t>Eco Trading 149</t>
  </si>
  <si>
    <t>SUP-0150</t>
  </si>
  <si>
    <t>United Group 150</t>
  </si>
  <si>
    <t>SUP-0151</t>
  </si>
  <si>
    <t>Core Solutions 151</t>
  </si>
  <si>
    <t>SUP-0152</t>
  </si>
  <si>
    <t>Delta Logistics 152</t>
  </si>
  <si>
    <t>SUP-0153</t>
  </si>
  <si>
    <t>Summit Supplies 153</t>
  </si>
  <si>
    <t>SUP-0154</t>
  </si>
  <si>
    <t>Eco Supplies 154</t>
  </si>
  <si>
    <t>SUP-0155</t>
  </si>
  <si>
    <t>Delta Materials 155</t>
  </si>
  <si>
    <t>SUP-0156</t>
  </si>
  <si>
    <t>Global Partners 156</t>
  </si>
  <si>
    <t>SUP-0157</t>
  </si>
  <si>
    <t>Beta Logistics 157</t>
  </si>
  <si>
    <t>SUP-0158</t>
  </si>
  <si>
    <t>Metro Industries 158</t>
  </si>
  <si>
    <t>SUP-0159</t>
  </si>
  <si>
    <t>Euro Dynamics 159</t>
  </si>
  <si>
    <t>SUP-0160</t>
  </si>
  <si>
    <t>Metro Solutions 160</t>
  </si>
  <si>
    <t>SUP-0161</t>
  </si>
  <si>
    <t>Pacific Industries 161</t>
  </si>
  <si>
    <t>SUP-0162</t>
  </si>
  <si>
    <t>Prime Solutions 162</t>
  </si>
  <si>
    <t>SUP-0163</t>
  </si>
  <si>
    <t>Core Industries 163</t>
  </si>
  <si>
    <t>SUP-0164</t>
  </si>
  <si>
    <t>Omega Logistics 164</t>
  </si>
  <si>
    <t>SUP-0165</t>
  </si>
  <si>
    <t>Metro Holdings 165</t>
  </si>
  <si>
    <t>SUP-0166</t>
  </si>
  <si>
    <t>Stellar Supplies 166</t>
  </si>
  <si>
    <t>SUP-0167</t>
  </si>
  <si>
    <t>Delta Supplies 167</t>
  </si>
  <si>
    <t>SUP-0168</t>
  </si>
  <si>
    <t>Stellar Industries 168</t>
  </si>
  <si>
    <t>SUP-0169</t>
  </si>
  <si>
    <t>United Dynamics 169</t>
  </si>
  <si>
    <t>SUP-0170</t>
  </si>
  <si>
    <t>Pacific Industries 170</t>
  </si>
  <si>
    <t>SUP-0171</t>
  </si>
  <si>
    <t>Nexus Industries 171</t>
  </si>
  <si>
    <t>SUP-0172</t>
  </si>
  <si>
    <t>Prime Group 172</t>
  </si>
  <si>
    <t>SUP-0173</t>
  </si>
  <si>
    <t>Summit Solutions 173</t>
  </si>
  <si>
    <t>SUP-0174</t>
  </si>
  <si>
    <t>Beta Logistics 174</t>
  </si>
  <si>
    <t>SUP-0175</t>
  </si>
  <si>
    <t>Summit Group 175</t>
  </si>
  <si>
    <t>SUP-0176</t>
  </si>
  <si>
    <t>Delta Materials 176</t>
  </si>
  <si>
    <t>SUP-0177</t>
  </si>
  <si>
    <t>Nordic Trading 177</t>
  </si>
  <si>
    <t>SUP-0178</t>
  </si>
  <si>
    <t>Eco Materials 178</t>
  </si>
  <si>
    <t>SUP-0179</t>
  </si>
  <si>
    <t>Alpha Group 179</t>
  </si>
  <si>
    <t>SUP-0180</t>
  </si>
  <si>
    <t>Core Materials 180</t>
  </si>
  <si>
    <t>SUP-0181</t>
  </si>
  <si>
    <t>Rapid Group 181</t>
  </si>
  <si>
    <t>SUP-0182</t>
  </si>
  <si>
    <t>Allied Dynamics 182</t>
  </si>
  <si>
    <t>SUP-0183</t>
  </si>
  <si>
    <t>Allied Partners 183</t>
  </si>
  <si>
    <t>SUP-0184</t>
  </si>
  <si>
    <t>Core Supplies 184</t>
  </si>
  <si>
    <t>SUP-0185</t>
  </si>
  <si>
    <t>Core Dynamics 185</t>
  </si>
  <si>
    <t>SUP-0186</t>
  </si>
  <si>
    <t>Precision Holdings 186</t>
  </si>
  <si>
    <t>SUP-0187</t>
  </si>
  <si>
    <t>United Materials 187</t>
  </si>
  <si>
    <t>SUP-0188</t>
  </si>
  <si>
    <t>United Logistics 188</t>
  </si>
  <si>
    <t>SUP-0189</t>
  </si>
  <si>
    <t>Omega Dynamics 189</t>
  </si>
  <si>
    <t>SUP-0190</t>
  </si>
  <si>
    <t>Nordic Supplies 190</t>
  </si>
  <si>
    <t>SUP-0191</t>
  </si>
  <si>
    <t>Prime Holdings 191</t>
  </si>
  <si>
    <t>SUP-0192</t>
  </si>
  <si>
    <t>Delta Industries 192</t>
  </si>
  <si>
    <t>SUP-0193</t>
  </si>
  <si>
    <t>Precision Solutions 193</t>
  </si>
  <si>
    <t>SUP-0194</t>
  </si>
  <si>
    <t>Stellar Trading 194</t>
  </si>
  <si>
    <t>SUP-0195</t>
  </si>
  <si>
    <t>Apex Group 195</t>
  </si>
  <si>
    <t>SUP-0196</t>
  </si>
  <si>
    <t>Nexus Supplies 196</t>
  </si>
  <si>
    <t>SUP-0197</t>
  </si>
  <si>
    <t>Summit Holdings 197</t>
  </si>
  <si>
    <t>SUP-0198</t>
  </si>
  <si>
    <t>Allied Industries 198</t>
  </si>
  <si>
    <t>SUP-0199</t>
  </si>
  <si>
    <t>Nordic Trading 199</t>
  </si>
  <si>
    <t>SUP-0200</t>
  </si>
  <si>
    <t>Pacific Logistics 200</t>
  </si>
  <si>
    <t>SUP-0201</t>
  </si>
  <si>
    <t>Delta Materials 201</t>
  </si>
  <si>
    <t>SUP-0202</t>
  </si>
  <si>
    <t>Omega Materials 202</t>
  </si>
  <si>
    <t>SUP-0203</t>
  </si>
  <si>
    <t>Apex Dynamics 203</t>
  </si>
  <si>
    <t>SUP-0204</t>
  </si>
  <si>
    <t>Eco Dynamics 204</t>
  </si>
  <si>
    <t>SUP-0205</t>
  </si>
  <si>
    <t>United Dynamics 205</t>
  </si>
  <si>
    <t>SUP-0206</t>
  </si>
  <si>
    <t>Stellar Holdings 206</t>
  </si>
  <si>
    <t>SUP-0207</t>
  </si>
  <si>
    <t>Beta Holdings 207</t>
  </si>
  <si>
    <t>SUP-0208</t>
  </si>
  <si>
    <t>Global Industries 208</t>
  </si>
  <si>
    <t>SUP-0209</t>
  </si>
  <si>
    <t>Beta Group 209</t>
  </si>
  <si>
    <t>SUP-0210</t>
  </si>
  <si>
    <t>Metro Dynamics 210</t>
  </si>
  <si>
    <t>SUP-0211</t>
  </si>
  <si>
    <t>Euro Solutions 211</t>
  </si>
  <si>
    <t>SUP-0212</t>
  </si>
  <si>
    <t>Nordic Supplies 212</t>
  </si>
  <si>
    <t>SUP-0213</t>
  </si>
  <si>
    <t>Nordic Industries 213</t>
  </si>
  <si>
    <t>SUP-0214</t>
  </si>
  <si>
    <t>Global Partners 214</t>
  </si>
  <si>
    <t>SUP-0215</t>
  </si>
  <si>
    <t>Beta Dynamics 215</t>
  </si>
  <si>
    <t>SUP-0216</t>
  </si>
  <si>
    <t>Alpha Dynamics 216</t>
  </si>
  <si>
    <t>SUP-0217</t>
  </si>
  <si>
    <t>Nordic Industries 217</t>
  </si>
  <si>
    <t>SUP-0218</t>
  </si>
  <si>
    <t>Stellar Group 218</t>
  </si>
  <si>
    <t>SUP-0219</t>
  </si>
  <si>
    <t>Beta Industries 219</t>
  </si>
  <si>
    <t>SUP-0220</t>
  </si>
  <si>
    <t>Allied Group 220</t>
  </si>
  <si>
    <t>SUP-0221</t>
  </si>
  <si>
    <t>Prime Industries 221</t>
  </si>
  <si>
    <t>SUP-0222</t>
  </si>
  <si>
    <t>United Logistics 222</t>
  </si>
  <si>
    <t>SUP-0223</t>
  </si>
  <si>
    <t>Alpha Solutions 223</t>
  </si>
  <si>
    <t>SUP-0224</t>
  </si>
  <si>
    <t>Pacific Logistics 224</t>
  </si>
  <si>
    <t>SUP-0225</t>
  </si>
  <si>
    <t>Omega Solutions 225</t>
  </si>
  <si>
    <t>SUP-0226</t>
  </si>
  <si>
    <t>Stellar Dynamics 226</t>
  </si>
  <si>
    <t>SUP-0227</t>
  </si>
  <si>
    <t>United Trading 227</t>
  </si>
  <si>
    <t>SUP-0228</t>
  </si>
  <si>
    <t>Global Holdings 228</t>
  </si>
  <si>
    <t>SUP-0229</t>
  </si>
  <si>
    <t>Delta Dynamics 229</t>
  </si>
  <si>
    <t>SUP-0230</t>
  </si>
  <si>
    <t>Nordic Industries 230</t>
  </si>
  <si>
    <t>SUP-0231</t>
  </si>
  <si>
    <t>Delta Dynamics 231</t>
  </si>
  <si>
    <t>SUP-0232</t>
  </si>
  <si>
    <t>Nexus Materials 232</t>
  </si>
  <si>
    <t>SUP-0233</t>
  </si>
  <si>
    <t>Precision Group 233</t>
  </si>
  <si>
    <t>SUP-0234</t>
  </si>
  <si>
    <t>Alpha Solutions 234</t>
  </si>
  <si>
    <t>SUP-0235</t>
  </si>
  <si>
    <t>Nexus Solutions 235</t>
  </si>
  <si>
    <t>SUP-0236</t>
  </si>
  <si>
    <t>Euro Partners 236</t>
  </si>
  <si>
    <t>SUP-0237</t>
  </si>
  <si>
    <t>Beta Materials 237</t>
  </si>
  <si>
    <t>SUP-0238</t>
  </si>
  <si>
    <t>Euro Holdings 238</t>
  </si>
  <si>
    <t>SUP-0239</t>
  </si>
  <si>
    <t>Euro Materials 239</t>
  </si>
  <si>
    <t>SUP-0240</t>
  </si>
  <si>
    <t>Apex Dynamics 240</t>
  </si>
  <si>
    <t>SUP-0241</t>
  </si>
  <si>
    <t>Euro Partners 241</t>
  </si>
  <si>
    <t>SUP-0242</t>
  </si>
  <si>
    <t>Precision Dynamics 242</t>
  </si>
  <si>
    <t>SUP-0243</t>
  </si>
  <si>
    <t>Delta Dynamics 243</t>
  </si>
  <si>
    <t>SUP-0244</t>
  </si>
  <si>
    <t>Rapid Dynamics 244</t>
  </si>
  <si>
    <t>SUP-0245</t>
  </si>
  <si>
    <t>Omega Trading 245</t>
  </si>
  <si>
    <t>SUP-0246</t>
  </si>
  <si>
    <t>Apex Trading 246</t>
  </si>
  <si>
    <t>SUP-0247</t>
  </si>
  <si>
    <t>Allied Logistics 247</t>
  </si>
  <si>
    <t>SUP-0248</t>
  </si>
  <si>
    <t>Pacific Dynamics 248</t>
  </si>
  <si>
    <t>SUP-0249</t>
  </si>
  <si>
    <t>Allied Dynamics 249</t>
  </si>
  <si>
    <t>SUP-0250</t>
  </si>
  <si>
    <t>Core Group 250</t>
  </si>
  <si>
    <t>SUP-0251</t>
  </si>
  <si>
    <t>United Industries 251</t>
  </si>
  <si>
    <t>SUP-0252</t>
  </si>
  <si>
    <t>Delta Group 252</t>
  </si>
  <si>
    <t>SUP-0253</t>
  </si>
  <si>
    <t>Allied Industries 253</t>
  </si>
  <si>
    <t>SUP-0254</t>
  </si>
  <si>
    <t>Alpha Dynamics 254</t>
  </si>
  <si>
    <t>SUP-0255</t>
  </si>
  <si>
    <t>Eco Dynamics 255</t>
  </si>
  <si>
    <t>SUP-0256</t>
  </si>
  <si>
    <t>Rapid Partners 256</t>
  </si>
  <si>
    <t>SUP-0257</t>
  </si>
  <si>
    <t>Apex Materials 257</t>
  </si>
  <si>
    <t>SUP-0258</t>
  </si>
  <si>
    <t>Summit Holdings 258</t>
  </si>
  <si>
    <t>SUP-0259</t>
  </si>
  <si>
    <t>Pacific Industries 259</t>
  </si>
  <si>
    <t>SUP-0260</t>
  </si>
  <si>
    <t>Alpha Partners 260</t>
  </si>
  <si>
    <t>SUP-0261</t>
  </si>
  <si>
    <t>Precision Logistics 261</t>
  </si>
  <si>
    <t>SUP-0262</t>
  </si>
  <si>
    <t>Beta Supplies 262</t>
  </si>
  <si>
    <t>SUP-0263</t>
  </si>
  <si>
    <t>Summit Industries 263</t>
  </si>
  <si>
    <t>SUP-0264</t>
  </si>
  <si>
    <t>Prime Holdings 264</t>
  </si>
  <si>
    <t>SUP-0265</t>
  </si>
  <si>
    <t>Apex Group 265</t>
  </si>
  <si>
    <t>SUP-0266</t>
  </si>
  <si>
    <t>Omega Group 266</t>
  </si>
  <si>
    <t>SUP-0267</t>
  </si>
  <si>
    <t>Core Dynamics 267</t>
  </si>
  <si>
    <t>SUP-0268</t>
  </si>
  <si>
    <t>Precision Partners 268</t>
  </si>
  <si>
    <t>SUP-0269</t>
  </si>
  <si>
    <t>Delta Group 269</t>
  </si>
  <si>
    <t>SUP-0270</t>
  </si>
  <si>
    <t>Allied Holdings 270</t>
  </si>
  <si>
    <t>SUP-0271</t>
  </si>
  <si>
    <t>Summit Trading 271</t>
  </si>
  <si>
    <t>SUP-0272</t>
  </si>
  <si>
    <t>Summit Group 272</t>
  </si>
  <si>
    <t>SUP-0273</t>
  </si>
  <si>
    <t>Summit Materials 273</t>
  </si>
  <si>
    <t>SUP-0274</t>
  </si>
  <si>
    <t>Precision Industries 274</t>
  </si>
  <si>
    <t>SUP-0275</t>
  </si>
  <si>
    <t>Allied Group 275</t>
  </si>
  <si>
    <t>SUP-0276</t>
  </si>
  <si>
    <t>Rapid Materials 276</t>
  </si>
  <si>
    <t>SUP-0277</t>
  </si>
  <si>
    <t>Omega Partners 277</t>
  </si>
  <si>
    <t>SUP-0278</t>
  </si>
  <si>
    <t>Stellar Supplies 278</t>
  </si>
  <si>
    <t>SUP-0279</t>
  </si>
  <si>
    <t>Metro Logistics 279</t>
  </si>
  <si>
    <t>SUP-0280</t>
  </si>
  <si>
    <t>Delta Supplies 280</t>
  </si>
  <si>
    <t>SUP-0281</t>
  </si>
  <si>
    <t>Omega Trading 281</t>
  </si>
  <si>
    <t>SUP-0282</t>
  </si>
  <si>
    <t>Omega Group 282</t>
  </si>
  <si>
    <t>SUP-0283</t>
  </si>
  <si>
    <t>Prime Group 283</t>
  </si>
  <si>
    <t>SUP-0284</t>
  </si>
  <si>
    <t>Global Solutions 284</t>
  </si>
  <si>
    <t>SUP-0285</t>
  </si>
  <si>
    <t>United Logistics 285</t>
  </si>
  <si>
    <t>SUP-0286</t>
  </si>
  <si>
    <t>Nordic Holdings 286</t>
  </si>
  <si>
    <t>SUP-0287</t>
  </si>
  <si>
    <t>Nexus Dynamics 287</t>
  </si>
  <si>
    <t>SUP-0288</t>
  </si>
  <si>
    <t>Precision Group 288</t>
  </si>
  <si>
    <t>SUP-0289</t>
  </si>
  <si>
    <t>Alpha Trading 289</t>
  </si>
  <si>
    <t>SUP-0290</t>
  </si>
  <si>
    <t>Stellar Trading 290</t>
  </si>
  <si>
    <t>SUP-0291</t>
  </si>
  <si>
    <t>Precision Solutions 291</t>
  </si>
  <si>
    <t>SUP-0292</t>
  </si>
  <si>
    <t>Precision Industries 292</t>
  </si>
  <si>
    <t>SUP-0293</t>
  </si>
  <si>
    <t>Beta Trading 293</t>
  </si>
  <si>
    <t>SUP-0294</t>
  </si>
  <si>
    <t>Rapid Logistics 294</t>
  </si>
  <si>
    <t>SUP-0295</t>
  </si>
  <si>
    <t>Rapid Logistics 295</t>
  </si>
  <si>
    <t>SUP-0296</t>
  </si>
  <si>
    <t>United Supplies 296</t>
  </si>
  <si>
    <t>SUP-0297</t>
  </si>
  <si>
    <t>Euro Group 297</t>
  </si>
  <si>
    <t>SUP-0298</t>
  </si>
  <si>
    <t>Apex Trading 298</t>
  </si>
  <si>
    <t>SUP-0299</t>
  </si>
  <si>
    <t>Metro Trading 299</t>
  </si>
  <si>
    <t>SUP-0300</t>
  </si>
  <si>
    <t>Delta Dynamics 300</t>
  </si>
  <si>
    <t>SUP-0301</t>
  </si>
  <si>
    <t>Summit Dynamics 301</t>
  </si>
  <si>
    <t>SUP-0302</t>
  </si>
  <si>
    <t>Omega Trading 302</t>
  </si>
  <si>
    <t>SUP-0303</t>
  </si>
  <si>
    <t>Nexus Solutions 303</t>
  </si>
  <si>
    <t>SUP-0304</t>
  </si>
  <si>
    <t>Beta Materials 304</t>
  </si>
  <si>
    <t>SUP-0305</t>
  </si>
  <si>
    <t>Allied Supplies 305</t>
  </si>
  <si>
    <t>SUP-0306</t>
  </si>
  <si>
    <t>Nexus Trading 306</t>
  </si>
  <si>
    <t>SUP-0307</t>
  </si>
  <si>
    <t>Nexus Materials 307</t>
  </si>
  <si>
    <t>SUP-0308</t>
  </si>
  <si>
    <t>Metro Logistics 308</t>
  </si>
  <si>
    <t>SUP-0309</t>
  </si>
  <si>
    <t>Delta Supplies 309</t>
  </si>
  <si>
    <t>SUP-0310</t>
  </si>
  <si>
    <t>Pacific Supplies 310</t>
  </si>
  <si>
    <t>SUP-0311</t>
  </si>
  <si>
    <t>Global Dynamics 311</t>
  </si>
  <si>
    <t>SUP-0312</t>
  </si>
  <si>
    <t>Allied Materials 312</t>
  </si>
  <si>
    <t>SUP-0313</t>
  </si>
  <si>
    <t>Nexus Materials 313</t>
  </si>
  <si>
    <t>SUP-0314</t>
  </si>
  <si>
    <t>Alpha Solutions 314</t>
  </si>
  <si>
    <t>SUP-0315</t>
  </si>
  <si>
    <t>Stellar Materials 315</t>
  </si>
  <si>
    <t>SUP-0316</t>
  </si>
  <si>
    <t>Nexus Dynamics 316</t>
  </si>
  <si>
    <t>SUP-0317</t>
  </si>
  <si>
    <t>Beta Partners 317</t>
  </si>
  <si>
    <t>SUP-0318</t>
  </si>
  <si>
    <t>Omega Industries 318</t>
  </si>
  <si>
    <t>SUP-0319</t>
  </si>
  <si>
    <t>Prime Logistics 319</t>
  </si>
  <si>
    <t>SUP-0320</t>
  </si>
  <si>
    <t>Stellar Solutions 320</t>
  </si>
  <si>
    <t>SUP-0321</t>
  </si>
  <si>
    <t>Core Group 321</t>
  </si>
  <si>
    <t>SUP-0322</t>
  </si>
  <si>
    <t>Euro Industries 322</t>
  </si>
  <si>
    <t>SUP-0323</t>
  </si>
  <si>
    <t>Euro Logistics 323</t>
  </si>
  <si>
    <t>SUP-0324</t>
  </si>
  <si>
    <t>Beta Group 324</t>
  </si>
  <si>
    <t>SUP-0325</t>
  </si>
  <si>
    <t>Nordic Logistics 325</t>
  </si>
  <si>
    <t>SUP-0326</t>
  </si>
  <si>
    <t>Metro Logistics 326</t>
  </si>
  <si>
    <t>SUP-0327</t>
  </si>
  <si>
    <t>Alpha Materials 327</t>
  </si>
  <si>
    <t>SUP-0328</t>
  </si>
  <si>
    <t>Alpha Materials 328</t>
  </si>
  <si>
    <t>SUP-0329</t>
  </si>
  <si>
    <t>Delta Industries 329</t>
  </si>
  <si>
    <t>SUP-0330</t>
  </si>
  <si>
    <t>Rapid Supplies 330</t>
  </si>
  <si>
    <t>SUP-0331</t>
  </si>
  <si>
    <t>Euro Solutions 331</t>
  </si>
  <si>
    <t>SUP-0332</t>
  </si>
  <si>
    <t>Euro Supplies 332</t>
  </si>
  <si>
    <t>SUP-0333</t>
  </si>
  <si>
    <t>Omega Dynamics 333</t>
  </si>
  <si>
    <t>SUP-0334</t>
  </si>
  <si>
    <t>Prime Solutions 334</t>
  </si>
  <si>
    <t>SUP-0335</t>
  </si>
  <si>
    <t>United Industries 335</t>
  </si>
  <si>
    <t>SUP-0336</t>
  </si>
  <si>
    <t>Omega Trading 336</t>
  </si>
  <si>
    <t>SUP-0337</t>
  </si>
  <si>
    <t>Global Materials 337</t>
  </si>
  <si>
    <t>SUP-0338</t>
  </si>
  <si>
    <t>Delta Partners 338</t>
  </si>
  <si>
    <t>SUP-0339</t>
  </si>
  <si>
    <t>Metro Industries 339</t>
  </si>
  <si>
    <t>SUP-0340</t>
  </si>
  <si>
    <t>Prime Logistics 340</t>
  </si>
  <si>
    <t>SUP-0341</t>
  </si>
  <si>
    <t>Nordic Trading 341</t>
  </si>
  <si>
    <t>SUP-0342</t>
  </si>
  <si>
    <t>United Partners 342</t>
  </si>
  <si>
    <t>SUP-0343</t>
  </si>
  <si>
    <t>Core Holdings 343</t>
  </si>
  <si>
    <t>SUP-0344</t>
  </si>
  <si>
    <t>Beta Trading 344</t>
  </si>
  <si>
    <t>SUP-0345</t>
  </si>
  <si>
    <t>Precision Industries 345</t>
  </si>
  <si>
    <t>SUP-0346</t>
  </si>
  <si>
    <t>Euro Holdings 346</t>
  </si>
  <si>
    <t>SUP-0347</t>
  </si>
  <si>
    <t>Rapid Partners 347</t>
  </si>
  <si>
    <t>SUP-0348</t>
  </si>
  <si>
    <t>Alpha Dynamics 348</t>
  </si>
  <si>
    <t>SUP-0349</t>
  </si>
  <si>
    <t>Beta Industries 349</t>
  </si>
  <si>
    <t>SUP-0350</t>
  </si>
  <si>
    <t>Core Materials 350</t>
  </si>
  <si>
    <t>SUP-0351</t>
  </si>
  <si>
    <t>Summit Group 351</t>
  </si>
  <si>
    <t>SUP-0352</t>
  </si>
  <si>
    <t>Nordic Group 352</t>
  </si>
  <si>
    <t>SUP-0353</t>
  </si>
  <si>
    <t>Eco Logistics 353</t>
  </si>
  <si>
    <t>SUP-0354</t>
  </si>
  <si>
    <t>Core Logistics 354</t>
  </si>
  <si>
    <t>SUP-0355</t>
  </si>
  <si>
    <t>Metro Industries 355</t>
  </si>
  <si>
    <t>SUP-0356</t>
  </si>
  <si>
    <t>Apex Trading 356</t>
  </si>
  <si>
    <t>SUP-0357</t>
  </si>
  <si>
    <t>Allied Holdings 357</t>
  </si>
  <si>
    <t>SUP-0358</t>
  </si>
  <si>
    <t>Omega Supplies 358</t>
  </si>
  <si>
    <t>SUP-0359</t>
  </si>
  <si>
    <t>Summit Holdings 359</t>
  </si>
  <si>
    <t>SUP-0360</t>
  </si>
  <si>
    <t>Prime Industries 360</t>
  </si>
  <si>
    <t>SUP-0361</t>
  </si>
  <si>
    <t>Nordic Solutions 361</t>
  </si>
  <si>
    <t>SUP-0362</t>
  </si>
  <si>
    <t>Alpha Materials 362</t>
  </si>
  <si>
    <t>SUP-0363</t>
  </si>
  <si>
    <t>Delta Trading 363</t>
  </si>
  <si>
    <t>SUP-0364</t>
  </si>
  <si>
    <t>Prime Logistics 364</t>
  </si>
  <si>
    <t>SUP-0365</t>
  </si>
  <si>
    <t>Rapid Industries 365</t>
  </si>
  <si>
    <t>SUP-0366</t>
  </si>
  <si>
    <t>Precision Industries 366</t>
  </si>
  <si>
    <t>SUP-0367</t>
  </si>
  <si>
    <t>Allied Solutions 367</t>
  </si>
  <si>
    <t>SUP-0368</t>
  </si>
  <si>
    <t>Omega Trading 368</t>
  </si>
  <si>
    <t>SUP-0369</t>
  </si>
  <si>
    <t>Delta Materials 369</t>
  </si>
  <si>
    <t>SUP-0370</t>
  </si>
  <si>
    <t>Delta Materials 370</t>
  </si>
  <si>
    <t>SUP-0371</t>
  </si>
  <si>
    <t>Eco Holdings 371</t>
  </si>
  <si>
    <t>SUP-0372</t>
  </si>
  <si>
    <t>Omega Holdings 372</t>
  </si>
  <si>
    <t>SUP-0373</t>
  </si>
  <si>
    <t>Beta Group 373</t>
  </si>
  <si>
    <t>SUP-0374</t>
  </si>
  <si>
    <t>Beta Trading 374</t>
  </si>
  <si>
    <t>SUP-0375</t>
  </si>
  <si>
    <t>Omega Partners 375</t>
  </si>
  <si>
    <t>SUP-0376</t>
  </si>
  <si>
    <t>Global Trading 376</t>
  </si>
  <si>
    <t>SUP-0377</t>
  </si>
  <si>
    <t>United Group 377</t>
  </si>
  <si>
    <t>SUP-0378</t>
  </si>
  <si>
    <t>Prime Partners 378</t>
  </si>
  <si>
    <t>SUP-0379</t>
  </si>
  <si>
    <t>Pacific Logistics 379</t>
  </si>
  <si>
    <t>SUP-0380</t>
  </si>
  <si>
    <t>Prime Trading 380</t>
  </si>
  <si>
    <t>SUP-0381</t>
  </si>
  <si>
    <t>Nordic Industries 381</t>
  </si>
  <si>
    <t>SUP-0382</t>
  </si>
  <si>
    <t>Stellar Dynamics 382</t>
  </si>
  <si>
    <t>SUP-0383</t>
  </si>
  <si>
    <t>Euro Solutions 383</t>
  </si>
  <si>
    <t>SUP-0384</t>
  </si>
  <si>
    <t>Core Trading 384</t>
  </si>
  <si>
    <t>SUP-0385</t>
  </si>
  <si>
    <t>Alpha Dynamics 385</t>
  </si>
  <si>
    <t>SUP-0386</t>
  </si>
  <si>
    <t>Summit Solutions 386</t>
  </si>
  <si>
    <t>SUP-0387</t>
  </si>
  <si>
    <t>Eco Materials 387</t>
  </si>
  <si>
    <t>SUP-0388</t>
  </si>
  <si>
    <t>Apex Industries 388</t>
  </si>
  <si>
    <t>SUP-0389</t>
  </si>
  <si>
    <t>Core Dynamics 389</t>
  </si>
  <si>
    <t>SUP-0390</t>
  </si>
  <si>
    <t>Summit Supplies 390</t>
  </si>
  <si>
    <t>SUP-0391</t>
  </si>
  <si>
    <t>Metro Supplies 391</t>
  </si>
  <si>
    <t>SUP-0392</t>
  </si>
  <si>
    <t>United Solutions 392</t>
  </si>
  <si>
    <t>SUP-0393</t>
  </si>
  <si>
    <t>Nexus Logistics 393</t>
  </si>
  <si>
    <t>SUP-0394</t>
  </si>
  <si>
    <t>Metro Solutions 394</t>
  </si>
  <si>
    <t>SUP-0395</t>
  </si>
  <si>
    <t>Nexus Holdings 395</t>
  </si>
  <si>
    <t>SUP-0396</t>
  </si>
  <si>
    <t>Global Logistics 396</t>
  </si>
  <si>
    <t>SUP-0397</t>
  </si>
  <si>
    <t>Core Solutions 397</t>
  </si>
  <si>
    <t>SUP-0398</t>
  </si>
  <si>
    <t>Metro Dynamics 398</t>
  </si>
  <si>
    <t>SUP-0399</t>
  </si>
  <si>
    <t>Core Partners 399</t>
  </si>
  <si>
    <t>SUP-0400</t>
  </si>
  <si>
    <t>Alpha Holdings 400</t>
  </si>
  <si>
    <t>SUP-0401</t>
  </si>
  <si>
    <t>Precision Holdings 401</t>
  </si>
  <si>
    <t>SUP-0402</t>
  </si>
  <si>
    <t>Stellar Trading 402</t>
  </si>
  <si>
    <t>SUP-0403</t>
  </si>
  <si>
    <t>Nordic Materials 403</t>
  </si>
  <si>
    <t>SUP-0404</t>
  </si>
  <si>
    <t>United Holdings 404</t>
  </si>
  <si>
    <t>SUP-0405</t>
  </si>
  <si>
    <t>Global Logistics 405</t>
  </si>
  <si>
    <t>SUP-0406</t>
  </si>
  <si>
    <t>Summit Partners 406</t>
  </si>
  <si>
    <t>SUP-0407</t>
  </si>
  <si>
    <t>Delta Dynamics 407</t>
  </si>
  <si>
    <t>SUP-0408</t>
  </si>
  <si>
    <t>Metro Industries 408</t>
  </si>
  <si>
    <t>SUP-0409</t>
  </si>
  <si>
    <t>Omega Supplies 409</t>
  </si>
  <si>
    <t>SUP-0410</t>
  </si>
  <si>
    <t>Eco Solutions 410</t>
  </si>
  <si>
    <t>SUP-0411</t>
  </si>
  <si>
    <t>Apex Trading 411</t>
  </si>
  <si>
    <t>SUP-0412</t>
  </si>
  <si>
    <t>Omega Materials 412</t>
  </si>
  <si>
    <t>SUP-0413</t>
  </si>
  <si>
    <t>Nexus Trading 413</t>
  </si>
  <si>
    <t>SUP-0414</t>
  </si>
  <si>
    <t>United Holdings 414</t>
  </si>
  <si>
    <t>SUP-0415</t>
  </si>
  <si>
    <t>Euro Trading 415</t>
  </si>
  <si>
    <t>SUP-0416</t>
  </si>
  <si>
    <t>Alpha Group 416</t>
  </si>
  <si>
    <t>SUP-0417</t>
  </si>
  <si>
    <t>Summit Solutions 417</t>
  </si>
  <si>
    <t>SUP-0418</t>
  </si>
  <si>
    <t>Delta Trading 418</t>
  </si>
  <si>
    <t>SUP-0419</t>
  </si>
  <si>
    <t>Precision Dynamics 419</t>
  </si>
  <si>
    <t>SUP-0420</t>
  </si>
  <si>
    <t>Summit Logistics 420</t>
  </si>
  <si>
    <t>SUP-0421</t>
  </si>
  <si>
    <t>Metro Supplies 421</t>
  </si>
  <si>
    <t>SUP-0422</t>
  </si>
  <si>
    <t>Precision Dynamics 422</t>
  </si>
  <si>
    <t>SUP-0423</t>
  </si>
  <si>
    <t>Omega Solutions 423</t>
  </si>
  <si>
    <t>SUP-0424</t>
  </si>
  <si>
    <t>Summit Supplies 424</t>
  </si>
  <si>
    <t>SUP-0425</t>
  </si>
  <si>
    <t>Nexus Trading 425</t>
  </si>
  <si>
    <t>SUP-0426</t>
  </si>
  <si>
    <t>Prime Holdings 426</t>
  </si>
  <si>
    <t>SUP-0427</t>
  </si>
  <si>
    <t>United Materials 427</t>
  </si>
  <si>
    <t>SUP-0428</t>
  </si>
  <si>
    <t>Nexus Materials 428</t>
  </si>
  <si>
    <t>SUP-0429</t>
  </si>
  <si>
    <t>Global Partners 429</t>
  </si>
  <si>
    <t>SUP-0430</t>
  </si>
  <si>
    <t>United Dynamics 430</t>
  </si>
  <si>
    <t>SUP-0431</t>
  </si>
  <si>
    <t>Precision Solutions 431</t>
  </si>
  <si>
    <t>SUP-0432</t>
  </si>
  <si>
    <t>Pacific Group 432</t>
  </si>
  <si>
    <t>SUP-0433</t>
  </si>
  <si>
    <t>Core Trading 433</t>
  </si>
  <si>
    <t>SUP-0434</t>
  </si>
  <si>
    <t>Beta Materials 434</t>
  </si>
  <si>
    <t>SUP-0435</t>
  </si>
  <si>
    <t>Eco Trading 435</t>
  </si>
  <si>
    <t>SUP-0436</t>
  </si>
  <si>
    <t>Nordic Trading 436</t>
  </si>
  <si>
    <t>SUP-0437</t>
  </si>
  <si>
    <t>Beta Materials 437</t>
  </si>
  <si>
    <t>SUP-0438</t>
  </si>
  <si>
    <t>Nexus Industries 438</t>
  </si>
  <si>
    <t>SUP-0439</t>
  </si>
  <si>
    <t>Allied Holdings 439</t>
  </si>
  <si>
    <t>SUP-0440</t>
  </si>
  <si>
    <t>Prime Materials 440</t>
  </si>
  <si>
    <t>SUP-0441</t>
  </si>
  <si>
    <t>Core Solutions 441</t>
  </si>
  <si>
    <t>SUP-0442</t>
  </si>
  <si>
    <t>Omega Logistics 442</t>
  </si>
  <si>
    <t>SUP-0443</t>
  </si>
  <si>
    <t>Apex Solutions 443</t>
  </si>
  <si>
    <t>SUP-0444</t>
  </si>
  <si>
    <t>Metro Trading 444</t>
  </si>
  <si>
    <t>SUP-0445</t>
  </si>
  <si>
    <t>Alpha Supplies 445</t>
  </si>
  <si>
    <t>SUP-0446</t>
  </si>
  <si>
    <t>Delta Group 446</t>
  </si>
  <si>
    <t>SUP-0447</t>
  </si>
  <si>
    <t>Precision Supplies 447</t>
  </si>
  <si>
    <t>SUP-0448</t>
  </si>
  <si>
    <t>Alpha Materials 448</t>
  </si>
  <si>
    <t>SUP-0449</t>
  </si>
  <si>
    <t>Core Dynamics 449</t>
  </si>
  <si>
    <t>SUP-0450</t>
  </si>
  <si>
    <t>Apex Industries 450</t>
  </si>
  <si>
    <t>SUP-0451</t>
  </si>
  <si>
    <t>Nexus Solutions 451</t>
  </si>
  <si>
    <t>SUP-0452</t>
  </si>
  <si>
    <t>Rapid Holdings 452</t>
  </si>
  <si>
    <t>SUP-0453</t>
  </si>
  <si>
    <t>Global Materials 453</t>
  </si>
  <si>
    <t>SUP-0454</t>
  </si>
  <si>
    <t>Rapid Industries 454</t>
  </si>
  <si>
    <t>SUP-0455</t>
  </si>
  <si>
    <t>Summit Logistics 455</t>
  </si>
  <si>
    <t>SUP-0456</t>
  </si>
  <si>
    <t>Allied Trading 456</t>
  </si>
  <si>
    <t>SUP-0457</t>
  </si>
  <si>
    <t>Stellar Group 457</t>
  </si>
  <si>
    <t>SUP-0458</t>
  </si>
  <si>
    <t>Nexus Logistics 458</t>
  </si>
  <si>
    <t>SUP-0459</t>
  </si>
  <si>
    <t>Pacific Group 459</t>
  </si>
  <si>
    <t>SUP-0460</t>
  </si>
  <si>
    <t>Rapid Holdings 460</t>
  </si>
  <si>
    <t>SUP-0461</t>
  </si>
  <si>
    <t>Nexus Logistics 461</t>
  </si>
  <si>
    <t>SUP-0462</t>
  </si>
  <si>
    <t>United Industries 462</t>
  </si>
  <si>
    <t>SUP-0463</t>
  </si>
  <si>
    <t>Allied Logistics 463</t>
  </si>
  <si>
    <t>SUP-0464</t>
  </si>
  <si>
    <t>United Logistics 464</t>
  </si>
  <si>
    <t>SUP-0465</t>
  </si>
  <si>
    <t>United Solutions 465</t>
  </si>
  <si>
    <t>SUP-0466</t>
  </si>
  <si>
    <t>United Solutions 466</t>
  </si>
  <si>
    <t>SUP-0467</t>
  </si>
  <si>
    <t>Allied Holdings 467</t>
  </si>
  <si>
    <t>SUP-0468</t>
  </si>
  <si>
    <t>Global Group 468</t>
  </si>
  <si>
    <t>SUP-0469</t>
  </si>
  <si>
    <t>Allied Trading 469</t>
  </si>
  <si>
    <t>SUP-0470</t>
  </si>
  <si>
    <t>Rapid Holdings 470</t>
  </si>
  <si>
    <t>SUP-0471</t>
  </si>
  <si>
    <t>United Materials 471</t>
  </si>
  <si>
    <t>SUP-0472</t>
  </si>
  <si>
    <t>Global Trading 472</t>
  </si>
  <si>
    <t>SUP-0473</t>
  </si>
  <si>
    <t>Eco Dynamics 473</t>
  </si>
  <si>
    <t>SUP-0474</t>
  </si>
  <si>
    <t>Apex Group 474</t>
  </si>
  <si>
    <t>SUP-0475</t>
  </si>
  <si>
    <t>Precision Dynamics 475</t>
  </si>
  <si>
    <t>SUP-0476</t>
  </si>
  <si>
    <t>United Materials 476</t>
  </si>
  <si>
    <t>SUP-0477</t>
  </si>
  <si>
    <t>Core Holdings 477</t>
  </si>
  <si>
    <t>SUP-0478</t>
  </si>
  <si>
    <t>Nordic Holdings 478</t>
  </si>
  <si>
    <t>SUP-0479</t>
  </si>
  <si>
    <t>Omega Dynamics 479</t>
  </si>
  <si>
    <t>SUP-0480</t>
  </si>
  <si>
    <t>Stellar Holdings 480</t>
  </si>
  <si>
    <t>SUP-0481</t>
  </si>
  <si>
    <t>Global Materials 481</t>
  </si>
  <si>
    <t>SUP-0482</t>
  </si>
  <si>
    <t>Rapid Logistics 482</t>
  </si>
  <si>
    <t>SUP-0483</t>
  </si>
  <si>
    <t>Omega Partners 483</t>
  </si>
  <si>
    <t>SUP-0484</t>
  </si>
  <si>
    <t>Prime Materials 484</t>
  </si>
  <si>
    <t>SUP-0485</t>
  </si>
  <si>
    <t>Euro Logistics 485</t>
  </si>
  <si>
    <t>SUP-0486</t>
  </si>
  <si>
    <t>Eco Industries 486</t>
  </si>
  <si>
    <t>SUP-0487</t>
  </si>
  <si>
    <t>Nordic Partners 487</t>
  </si>
  <si>
    <t>SUP-0488</t>
  </si>
  <si>
    <t>Prime Supplies 488</t>
  </si>
  <si>
    <t>SUP-0489</t>
  </si>
  <si>
    <t>Delta Supplies 489</t>
  </si>
  <si>
    <t>SUP-0490</t>
  </si>
  <si>
    <t>Metro Materials 490</t>
  </si>
  <si>
    <t>SUP-0491</t>
  </si>
  <si>
    <t>Summit Supplies 491</t>
  </si>
  <si>
    <t>SUP-0492</t>
  </si>
  <si>
    <t>Summit Trading 492</t>
  </si>
  <si>
    <t>SUP-0493</t>
  </si>
  <si>
    <t>Euro Logistics 493</t>
  </si>
  <si>
    <t>SUP-0494</t>
  </si>
  <si>
    <t>Summit Supplies 494</t>
  </si>
  <si>
    <t>SUP-0495</t>
  </si>
  <si>
    <t>Global Trading 495</t>
  </si>
  <si>
    <t>SUP-0496</t>
  </si>
  <si>
    <t>Eco Logistics 496</t>
  </si>
  <si>
    <t>SUP-0497</t>
  </si>
  <si>
    <t>Precision Industries 497</t>
  </si>
  <si>
    <t>SUP-0498</t>
  </si>
  <si>
    <t>Allied Group 498</t>
  </si>
  <si>
    <t>SUP-0499</t>
  </si>
  <si>
    <t>Allied Dynamics 499</t>
  </si>
  <si>
    <t>SUP-0500</t>
  </si>
  <si>
    <t>Metro Logistics 500</t>
  </si>
  <si>
    <t>Avg Unit Cost (£)</t>
  </si>
  <si>
    <t>Avg Lead Days</t>
  </si>
  <si>
    <t>Avg On-Time %</t>
  </si>
  <si>
    <t>Supplier Count</t>
  </si>
  <si>
    <t>At-Risk Count</t>
  </si>
  <si>
    <t>Total Annual Spend (£)</t>
  </si>
  <si>
    <t>Supplier Lookup Card</t>
  </si>
  <si>
    <t>Enter a Supplier ID in the yellow cell (e.g. SUP-0001)</t>
  </si>
  <si>
    <t>Supplier ID:</t>
  </si>
  <si>
    <t>Cost &amp; Lead-Time Scenario Analysis</t>
  </si>
  <si>
    <t>Scenario Inputs</t>
  </si>
  <si>
    <t>Cost increase shock (%)</t>
  </si>
  <si>
    <t>%</t>
  </si>
  <si>
    <t>Lead-time reduction (days)</t>
  </si>
  <si>
    <t>days</t>
  </si>
  <si>
    <t>Safety stock buffer (days)</t>
  </si>
  <si>
    <t>Target on-time threshold (%)</t>
  </si>
  <si>
    <t>Scenario Comparison</t>
  </si>
  <si>
    <t>Metric</t>
  </si>
  <si>
    <t>Base Case</t>
  </si>
  <si>
    <t>Scenario A
+10% Cost</t>
  </si>
  <si>
    <t>Scenario B
-3 Lead Days</t>
  </si>
  <si>
    <t>Scenario C
Combined</t>
  </si>
  <si>
    <t>Avg Effective Lead Days (with buffer)</t>
  </si>
  <si>
    <t>Suppliers At Risk (count)</t>
  </si>
  <si>
    <t>Estimated Spend Impact (£)</t>
  </si>
  <si>
    <t>Supplier Performance Dashboard</t>
  </si>
  <si>
    <t>Total Suppliers</t>
  </si>
  <si>
    <t>Avg Unit Cost</t>
  </si>
  <si>
    <t>At-Risk Suppliers</t>
  </si>
  <si>
    <t>Spend by Category</t>
  </si>
  <si>
    <t>On-Time % by Country</t>
  </si>
  <si>
    <t>Total Spend (£)</t>
  </si>
  <si>
    <t>Avg Cost (£)</t>
  </si>
  <si>
    <t>Avg Lead</t>
  </si>
  <si>
    <t>Avg On-Time%</t>
  </si>
  <si>
    <t>At-Risk</t>
  </si>
  <si>
    <t>Suppliers</t>
  </si>
  <si>
    <t>Category × Supplier Tier - Performance Summary</t>
  </si>
  <si>
    <t>Lan Dang</t>
  </si>
  <si>
    <t>Thomas Lewison</t>
  </si>
  <si>
    <t>Category Manager Lookup Card</t>
  </si>
  <si>
    <t>Enter a Category Manager name in the yellow cell (e.g. Lan Dang)</t>
  </si>
  <si>
    <t>Country × Supplier Tier - Performance Summary</t>
  </si>
  <si>
    <t>Supplier On-Time Delivery (%)</t>
  </si>
  <si>
    <t>Avg Lead Day</t>
  </si>
  <si>
    <t>Avg Annual Order</t>
  </si>
  <si>
    <t>Avg Annual Spend</t>
  </si>
  <si>
    <t>Manager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</si>
</sst>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quot;%&quot;"/>
    <numFmt numFmtId="166" formatCode="0.0"/>
    <numFmt numFmtId="167" formatCode="\£#,##0"/>
    <numFmt numFmtId="168" formatCode="0.0\ &quot;days&quot;"/>
    <numFmt numFmtId="169" formatCode="dd/mm/yyyy;@"/>
    <numFmt numFmtId="170" formatCode="&quot;£&quot;#,##0.00"/>
  </numFmts>
  <fonts count="25" x14ac:knownFonts="1">
    <font>
      <sz val="11"/>
      <color theme="1"/>
      <name val="Arial"/>
      <family val="2"/>
      <scheme val="minor"/>
    </font>
    <font>
      <sz val="10"/>
      <color rgb="FF444444"/>
      <name val="Calibri"/>
    </font>
    <font>
      <i/>
      <sz val="9"/>
      <color rgb="FF888888"/>
      <name val="Calibri"/>
    </font>
    <font>
      <b/>
      <sz val="10"/>
      <color rgb="FF1F3864"/>
      <name val="Calibri"/>
    </font>
    <font>
      <b/>
      <sz val="11"/>
      <color theme="1"/>
      <name val="Arial"/>
      <family val="2"/>
      <scheme val="minor"/>
    </font>
    <font>
      <sz val="11"/>
      <color theme="1"/>
      <name val="Montserrat"/>
    </font>
    <font>
      <i/>
      <sz val="10"/>
      <color rgb="FF888888"/>
      <name val="Montserrat"/>
    </font>
    <font>
      <b/>
      <sz val="12"/>
      <color rgb="FF444444"/>
      <name val="Montserrat"/>
    </font>
    <font>
      <b/>
      <sz val="10"/>
      <color rgb="FF1F3864"/>
      <name val="Montserrat"/>
    </font>
    <font>
      <sz val="10"/>
      <color rgb="FF444444"/>
      <name val="Montserrat"/>
    </font>
    <font>
      <sz val="10"/>
      <color theme="1"/>
      <name val="Montserrat"/>
    </font>
    <font>
      <b/>
      <sz val="16"/>
      <color theme="4"/>
      <name val="Montserrat"/>
    </font>
    <font>
      <sz val="11"/>
      <color theme="4"/>
      <name val="Montserrat"/>
    </font>
    <font>
      <b/>
      <sz val="11"/>
      <color theme="4"/>
      <name val="Montserrat"/>
    </font>
    <font>
      <b/>
      <sz val="10"/>
      <color theme="4"/>
      <name val="Montserrat"/>
    </font>
    <font>
      <b/>
      <sz val="18"/>
      <color rgb="FFFFFFFF"/>
      <name val="Montserrat"/>
    </font>
    <font>
      <b/>
      <sz val="22"/>
      <color theme="4"/>
      <name val="Montserrat"/>
    </font>
    <font>
      <b/>
      <sz val="12"/>
      <color rgb="FFFFFFFF"/>
      <name val="Montserrat"/>
    </font>
    <font>
      <b/>
      <sz val="10"/>
      <color theme="0"/>
      <name val="Montserrat"/>
    </font>
    <font>
      <b/>
      <sz val="10"/>
      <color rgb="FF444444"/>
      <name val="Montserrat"/>
    </font>
    <font>
      <b/>
      <sz val="10"/>
      <color rgb="FFFFFFFF"/>
      <name val="Montserrat"/>
    </font>
    <font>
      <i/>
      <sz val="11"/>
      <color rgb="FF888888"/>
      <name val="Montserrat"/>
    </font>
    <font>
      <b/>
      <sz val="11"/>
      <color rgb="FFFFFFFF"/>
      <name val="Montserrat"/>
    </font>
    <font>
      <sz val="10"/>
      <color rgb="FF888888"/>
      <name val="Montserrat"/>
    </font>
    <font>
      <b/>
      <sz val="11"/>
      <color theme="1" tint="4.9989318521683403E-2"/>
      <name val="Montserrat"/>
    </font>
  </fonts>
  <fills count="12">
    <fill>
      <patternFill patternType="none"/>
    </fill>
    <fill>
      <patternFill patternType="gray125"/>
    </fill>
    <fill>
      <patternFill patternType="solid">
        <fgColor rgb="FFF5F5F5"/>
      </patternFill>
    </fill>
    <fill>
      <patternFill patternType="solid">
        <fgColor rgb="FFFFFFFF"/>
      </patternFill>
    </fill>
    <fill>
      <patternFill patternType="solid">
        <fgColor rgb="FFFFF2CC"/>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3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top style="thin">
        <color rgb="FFCCCCCC"/>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right/>
      <top/>
      <bottom style="thin">
        <color rgb="FFCCCCCC"/>
      </bottom>
      <diagonal/>
    </border>
    <border>
      <left style="medium">
        <color rgb="FF2E75B6"/>
      </left>
      <right style="thin">
        <color rgb="FF2E75B6"/>
      </right>
      <top style="thin">
        <color theme="4" tint="-0.249977111117893"/>
      </top>
      <bottom style="thin">
        <color rgb="FF2E75B6"/>
      </bottom>
      <diagonal/>
    </border>
    <border>
      <left style="thin">
        <color rgb="FF2E75B6"/>
      </left>
      <right style="thin">
        <color rgb="FF2E75B6"/>
      </right>
      <top style="thin">
        <color theme="4" tint="-0.249977111117893"/>
      </top>
      <bottom style="thin">
        <color rgb="FF2E75B6"/>
      </bottom>
      <diagonal/>
    </border>
    <border>
      <left style="thin">
        <color rgb="FF2E75B6"/>
      </left>
      <right style="medium">
        <color rgb="FF2E75B6"/>
      </right>
      <top style="thin">
        <color theme="4" tint="-0.249977111117893"/>
      </top>
      <bottom style="thin">
        <color rgb="FF2E75B6"/>
      </bottom>
      <diagonal/>
    </border>
    <border>
      <left style="thin">
        <color rgb="FF2E75B6"/>
      </left>
      <right/>
      <top style="thin">
        <color theme="4" tint="-0.249977111117893"/>
      </top>
      <bottom style="thin">
        <color rgb="FF2E75B6"/>
      </bottom>
      <diagonal/>
    </border>
    <border>
      <left style="thin">
        <color theme="4" tint="-0.249977111117893"/>
      </left>
      <right style="thin">
        <color rgb="FF2E75B6"/>
      </right>
      <top style="thin">
        <color theme="4" tint="-0.249977111117893"/>
      </top>
      <bottom style="thin">
        <color rgb="FF2E75B6"/>
      </bottom>
      <diagonal/>
    </border>
    <border>
      <left style="thin">
        <color theme="4" tint="-0.249977111117893"/>
      </left>
      <right style="thin">
        <color rgb="FF2E75B6"/>
      </right>
      <top style="thin">
        <color rgb="FF2E75B6"/>
      </top>
      <bottom style="thin">
        <color theme="4" tint="-0.249977111117893"/>
      </bottom>
      <diagonal/>
    </border>
    <border>
      <left style="thin">
        <color rgb="FF2E75B6"/>
      </left>
      <right style="thin">
        <color rgb="FF2E75B6"/>
      </right>
      <top style="thin">
        <color rgb="FF2E75B6"/>
      </top>
      <bottom style="thin">
        <color theme="4" tint="-0.249977111117893"/>
      </bottom>
      <diagonal/>
    </border>
    <border>
      <left style="thin">
        <color rgb="FF2E75B6"/>
      </left>
      <right style="medium">
        <color rgb="FF2E75B6"/>
      </right>
      <top style="thin">
        <color rgb="FF2E75B6"/>
      </top>
      <bottom style="thin">
        <color theme="4" tint="-0.249977111117893"/>
      </bottom>
      <diagonal/>
    </border>
    <border>
      <left style="thin">
        <color rgb="FF2E75B6"/>
      </left>
      <right style="thin">
        <color theme="4" tint="-0.249977111117893"/>
      </right>
      <top style="thin">
        <color theme="4" tint="-0.249977111117893"/>
      </top>
      <bottom style="thin">
        <color rgb="FF2E75B6"/>
      </bottom>
      <diagonal/>
    </border>
    <border>
      <left style="medium">
        <color rgb="FF2E75B6"/>
      </left>
      <right style="thin">
        <color rgb="FF2E75B6"/>
      </right>
      <top style="thin">
        <color rgb="FF2E75B6"/>
      </top>
      <bottom style="thin">
        <color theme="4" tint="-0.249977111117893"/>
      </bottom>
      <diagonal/>
    </border>
    <border>
      <left style="thin">
        <color rgb="FF2E75B6"/>
      </left>
      <right style="thin">
        <color theme="4" tint="-0.249977111117893"/>
      </right>
      <top style="thin">
        <color rgb="FF2E75B6"/>
      </top>
      <bottom style="thin">
        <color theme="4" tint="-0.249977111117893"/>
      </bottom>
      <diagonal/>
    </border>
    <border>
      <left/>
      <right/>
      <top style="thin">
        <color theme="4" tint="-0.249977111117893"/>
      </top>
      <bottom/>
      <diagonal/>
    </border>
    <border>
      <left style="thin">
        <color theme="4" tint="-0.249977111117893"/>
      </left>
      <right style="thin">
        <color rgb="FF2E75B6"/>
      </right>
      <top style="thin">
        <color rgb="FF2E75B6"/>
      </top>
      <bottom/>
      <diagonal/>
    </border>
    <border>
      <left style="thin">
        <color rgb="FF2E75B6"/>
      </left>
      <right style="thin">
        <color rgb="FF2E75B6"/>
      </right>
      <top style="thin">
        <color rgb="FF2E75B6"/>
      </top>
      <bottom/>
      <diagonal/>
    </border>
    <border>
      <left style="thin">
        <color rgb="FF2E75B6"/>
      </left>
      <right style="thin">
        <color theme="4" tint="-0.249977111117893"/>
      </right>
      <top style="thin">
        <color rgb="FF2E75B6"/>
      </top>
      <bottom/>
      <diagonal/>
    </border>
    <border>
      <left style="medium">
        <color rgb="FF2E75B6"/>
      </left>
      <right style="thin">
        <color rgb="FF2E75B6"/>
      </right>
      <top style="thin">
        <color rgb="FF2E75B6"/>
      </top>
      <bottom/>
      <diagonal/>
    </border>
    <border>
      <left style="thin">
        <color rgb="FF2E75B6"/>
      </left>
      <right/>
      <top style="thin">
        <color rgb="FF2E75B6"/>
      </top>
      <bottom/>
      <diagonal/>
    </border>
    <border>
      <left style="thin">
        <color rgb="FF2E75B6"/>
      </left>
      <right/>
      <top style="thin">
        <color rgb="FF2E75B6"/>
      </top>
      <bottom style="thin">
        <color theme="4" tint="-0.249977111117893"/>
      </bottom>
      <diagonal/>
    </border>
  </borders>
  <cellStyleXfs count="1">
    <xf numFmtId="0" fontId="0" fillId="0" borderId="0"/>
  </cellStyleXfs>
  <cellXfs count="142">
    <xf numFmtId="0" fontId="0" fillId="0" borderId="0" xfId="0"/>
    <xf numFmtId="0" fontId="3" fillId="5" borderId="0" xfId="0" applyFont="1" applyFill="1" applyAlignment="1">
      <alignment horizontal="left" vertical="center"/>
    </xf>
    <xf numFmtId="1" fontId="1" fillId="5" borderId="0" xfId="0" applyNumberFormat="1" applyFont="1" applyFill="1" applyAlignment="1">
      <alignment horizontal="left" vertical="center"/>
    </xf>
    <xf numFmtId="0" fontId="0" fillId="5" borderId="0" xfId="0" applyFill="1"/>
    <xf numFmtId="165" fontId="1" fillId="5" borderId="0" xfId="0" applyNumberFormat="1" applyFont="1" applyFill="1" applyAlignment="1">
      <alignment horizontal="left" vertical="center"/>
    </xf>
    <xf numFmtId="167" fontId="1" fillId="5" borderId="0" xfId="0" applyNumberFormat="1" applyFont="1" applyFill="1" applyAlignment="1">
      <alignment horizontal="left" vertical="center"/>
    </xf>
    <xf numFmtId="14" fontId="1" fillId="5" borderId="0" xfId="0" applyNumberFormat="1" applyFont="1" applyFill="1" applyAlignment="1">
      <alignment horizontal="left" vertical="center"/>
    </xf>
    <xf numFmtId="0" fontId="1" fillId="5" borderId="0" xfId="0" applyFont="1" applyFill="1" applyAlignment="1">
      <alignment horizontal="left" vertical="center"/>
    </xf>
    <xf numFmtId="164" fontId="1" fillId="5" borderId="10" xfId="0" applyNumberFormat="1" applyFont="1" applyFill="1" applyBorder="1" applyAlignment="1">
      <alignment horizontal="left" vertical="center"/>
    </xf>
    <xf numFmtId="0" fontId="3" fillId="5" borderId="10" xfId="0" applyFont="1" applyFill="1" applyBorder="1" applyAlignment="1">
      <alignment horizontal="left" vertical="center"/>
    </xf>
    <xf numFmtId="0" fontId="0" fillId="0" borderId="15" xfId="0" applyBorder="1"/>
    <xf numFmtId="0" fontId="0" fillId="0" borderId="0" xfId="0"/>
    <xf numFmtId="0" fontId="2" fillId="0" borderId="0" xfId="0" applyFont="1" applyAlignment="1">
      <alignment horizontal="left" wrapText="1"/>
    </xf>
    <xf numFmtId="0" fontId="5" fillId="0" borderId="0" xfId="0" applyFont="1"/>
    <xf numFmtId="0" fontId="6" fillId="0" borderId="0" xfId="0" applyFont="1"/>
    <xf numFmtId="0" fontId="5" fillId="0" borderId="0" xfId="0" applyFont="1"/>
    <xf numFmtId="0" fontId="7" fillId="4" borderId="1" xfId="0" applyFont="1" applyFill="1" applyBorder="1" applyAlignment="1">
      <alignment horizontal="center" vertical="center"/>
    </xf>
    <xf numFmtId="0" fontId="5" fillId="0" borderId="0" xfId="0" applyFont="1" applyBorder="1"/>
    <xf numFmtId="0" fontId="9" fillId="3" borderId="1" xfId="0" applyFont="1" applyFill="1" applyBorder="1" applyAlignment="1">
      <alignment horizontal="left" vertical="center"/>
    </xf>
    <xf numFmtId="0" fontId="9" fillId="5" borderId="1" xfId="0" applyFont="1" applyFill="1" applyBorder="1" applyAlignment="1">
      <alignment horizontal="left" vertical="center"/>
    </xf>
    <xf numFmtId="0" fontId="5" fillId="0" borderId="11" xfId="0" applyFont="1" applyBorder="1"/>
    <xf numFmtId="1" fontId="10" fillId="5" borderId="12" xfId="0" applyNumberFormat="1" applyFont="1" applyFill="1" applyBorder="1" applyAlignment="1">
      <alignment horizontal="center" vertical="center"/>
    </xf>
    <xf numFmtId="0" fontId="11" fillId="0" borderId="0" xfId="0" applyFont="1"/>
    <xf numFmtId="0" fontId="12" fillId="0" borderId="0" xfId="0" applyFont="1"/>
    <xf numFmtId="0" fontId="9" fillId="7" borderId="1" xfId="0" applyFont="1" applyFill="1" applyBorder="1" applyAlignment="1">
      <alignment horizontal="left" vertical="center"/>
    </xf>
    <xf numFmtId="169" fontId="9" fillId="7" borderId="1" xfId="0" applyNumberFormat="1" applyFont="1" applyFill="1" applyBorder="1" applyAlignment="1">
      <alignment horizontal="left" vertical="center"/>
    </xf>
    <xf numFmtId="2" fontId="9" fillId="7" borderId="12" xfId="0" applyNumberFormat="1" applyFont="1" applyFill="1" applyBorder="1" applyAlignment="1">
      <alignment horizontal="center" vertical="center"/>
    </xf>
    <xf numFmtId="2" fontId="10" fillId="7" borderId="12" xfId="0" applyNumberFormat="1" applyFont="1" applyFill="1" applyBorder="1" applyAlignment="1">
      <alignment horizontal="center" vertical="center"/>
    </xf>
    <xf numFmtId="0" fontId="13" fillId="0" borderId="0" xfId="0" applyFont="1"/>
    <xf numFmtId="0" fontId="12" fillId="0" borderId="0" xfId="0" applyFont="1"/>
    <xf numFmtId="0" fontId="14" fillId="7" borderId="14" xfId="0" applyFont="1" applyFill="1" applyBorder="1" applyAlignment="1">
      <alignment horizontal="left" vertical="center"/>
    </xf>
    <xf numFmtId="0" fontId="14" fillId="5" borderId="10" xfId="0" applyFont="1" applyFill="1" applyBorder="1" applyAlignment="1">
      <alignment horizontal="left" vertical="center"/>
    </xf>
    <xf numFmtId="0" fontId="14" fillId="5" borderId="14" xfId="0" applyFont="1" applyFill="1" applyBorder="1" applyAlignment="1">
      <alignment horizontal="left" vertical="center"/>
    </xf>
    <xf numFmtId="0" fontId="14" fillId="3" borderId="1" xfId="0" applyFont="1" applyFill="1" applyBorder="1" applyAlignment="1">
      <alignment horizontal="left" vertical="center"/>
    </xf>
    <xf numFmtId="0" fontId="14" fillId="7" borderId="1" xfId="0" applyFont="1" applyFill="1" applyBorder="1" applyAlignment="1">
      <alignment horizontal="left" vertical="center"/>
    </xf>
    <xf numFmtId="0" fontId="14" fillId="5" borderId="1" xfId="0" applyFont="1" applyFill="1" applyBorder="1" applyAlignment="1">
      <alignment horizontal="left" vertical="center"/>
    </xf>
    <xf numFmtId="170" fontId="10" fillId="7" borderId="13" xfId="0" applyNumberFormat="1" applyFont="1" applyFill="1" applyBorder="1" applyAlignment="1">
      <alignment horizontal="center" vertical="center"/>
    </xf>
    <xf numFmtId="0" fontId="15" fillId="8" borderId="0" xfId="0" applyFont="1" applyFill="1" applyAlignment="1">
      <alignment horizontal="center" vertical="center"/>
    </xf>
    <xf numFmtId="0" fontId="5" fillId="8" borderId="0" xfId="0" applyFont="1" applyFill="1"/>
    <xf numFmtId="0" fontId="6" fillId="0" borderId="0" xfId="0" applyFont="1" applyAlignment="1">
      <alignment horizontal="center" vertical="center"/>
    </xf>
    <xf numFmtId="0" fontId="13" fillId="7" borderId="17" xfId="0" applyFont="1" applyFill="1" applyBorder="1" applyAlignment="1">
      <alignment horizontal="center" vertical="center"/>
    </xf>
    <xf numFmtId="0" fontId="12" fillId="7" borderId="18" xfId="0" applyFont="1" applyFill="1" applyBorder="1"/>
    <xf numFmtId="0" fontId="12" fillId="7" borderId="20" xfId="0" applyFont="1" applyFill="1" applyBorder="1"/>
    <xf numFmtId="0" fontId="13" fillId="7" borderId="21" xfId="0" applyFont="1" applyFill="1" applyBorder="1" applyAlignment="1">
      <alignment horizontal="center" vertical="center"/>
    </xf>
    <xf numFmtId="0" fontId="12" fillId="7" borderId="25" xfId="0" applyFont="1" applyFill="1" applyBorder="1"/>
    <xf numFmtId="0" fontId="12" fillId="7" borderId="19" xfId="0" applyFont="1" applyFill="1" applyBorder="1"/>
    <xf numFmtId="0" fontId="12" fillId="7" borderId="32" xfId="0" applyFont="1" applyFill="1" applyBorder="1"/>
    <xf numFmtId="0" fontId="12" fillId="7" borderId="30" xfId="0" applyFont="1" applyFill="1" applyBorder="1"/>
    <xf numFmtId="0" fontId="12" fillId="7" borderId="33" xfId="0" applyFont="1" applyFill="1" applyBorder="1"/>
    <xf numFmtId="0" fontId="12" fillId="7" borderId="22" xfId="0" applyFont="1" applyFill="1" applyBorder="1"/>
    <xf numFmtId="0" fontId="12" fillId="7" borderId="23" xfId="0" applyFont="1" applyFill="1" applyBorder="1"/>
    <xf numFmtId="0" fontId="12" fillId="7" borderId="27" xfId="0" applyFont="1" applyFill="1" applyBorder="1"/>
    <xf numFmtId="0" fontId="12" fillId="7" borderId="24" xfId="0" applyFont="1" applyFill="1" applyBorder="1"/>
    <xf numFmtId="0" fontId="16" fillId="7" borderId="17" xfId="0" applyFont="1" applyFill="1" applyBorder="1" applyAlignment="1">
      <alignment horizontal="center" vertical="center"/>
    </xf>
    <xf numFmtId="164" fontId="16" fillId="7" borderId="21" xfId="0" applyNumberFormat="1" applyFont="1" applyFill="1" applyBorder="1" applyAlignment="1">
      <alignment horizontal="center" vertical="center"/>
    </xf>
    <xf numFmtId="168" fontId="16" fillId="7" borderId="21" xfId="0" applyNumberFormat="1" applyFont="1" applyFill="1" applyBorder="1" applyAlignment="1">
      <alignment horizontal="center" vertical="center"/>
    </xf>
    <xf numFmtId="1" fontId="16" fillId="7" borderId="21" xfId="0" applyNumberFormat="1" applyFont="1" applyFill="1" applyBorder="1" applyAlignment="1">
      <alignment horizontal="center" vertical="center"/>
    </xf>
    <xf numFmtId="0" fontId="12" fillId="7" borderId="26" xfId="0" applyFont="1" applyFill="1" applyBorder="1"/>
    <xf numFmtId="0" fontId="12" fillId="7" borderId="34" xfId="0" applyFont="1" applyFill="1" applyBorder="1"/>
    <xf numFmtId="0" fontId="12" fillId="7" borderId="29" xfId="0" applyFont="1" applyFill="1" applyBorder="1"/>
    <xf numFmtId="0" fontId="12" fillId="7" borderId="31" xfId="0" applyFont="1" applyFill="1" applyBorder="1"/>
    <xf numFmtId="0" fontId="5" fillId="0" borderId="28" xfId="0" applyFont="1" applyBorder="1"/>
    <xf numFmtId="0" fontId="17" fillId="6" borderId="0" xfId="0" applyFont="1" applyFill="1" applyAlignment="1">
      <alignment horizontal="center" vertical="center"/>
    </xf>
    <xf numFmtId="0" fontId="5" fillId="6" borderId="0" xfId="0" applyFont="1" applyFill="1" applyAlignment="1">
      <alignment horizontal="center" vertical="center"/>
    </xf>
    <xf numFmtId="0" fontId="5" fillId="0" borderId="0" xfId="0" applyFont="1" applyAlignment="1">
      <alignment horizontal="center" vertical="center"/>
    </xf>
    <xf numFmtId="0" fontId="18" fillId="9" borderId="1" xfId="0" applyFont="1" applyFill="1" applyBorder="1" applyAlignment="1">
      <alignment horizontal="center" vertical="center"/>
    </xf>
    <xf numFmtId="0" fontId="19" fillId="3" borderId="1" xfId="0" applyFont="1" applyFill="1" applyBorder="1" applyAlignment="1">
      <alignment horizontal="left" vertical="center"/>
    </xf>
    <xf numFmtId="167" fontId="9" fillId="3" borderId="1" xfId="0" applyNumberFormat="1" applyFont="1" applyFill="1" applyBorder="1" applyAlignment="1">
      <alignment horizontal="center" vertical="center"/>
    </xf>
    <xf numFmtId="164" fontId="9" fillId="3" borderId="1" xfId="0" applyNumberFormat="1" applyFont="1" applyFill="1" applyBorder="1" applyAlignment="1">
      <alignment horizontal="center" vertical="center"/>
    </xf>
    <xf numFmtId="166" fontId="9" fillId="3" borderId="1" xfId="0"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1" fontId="9" fillId="3" borderId="1" xfId="0" applyNumberFormat="1" applyFont="1" applyFill="1" applyBorder="1" applyAlignment="1">
      <alignment horizontal="center" vertical="center"/>
    </xf>
    <xf numFmtId="0" fontId="19" fillId="2" borderId="1" xfId="0" applyFont="1" applyFill="1" applyBorder="1" applyAlignment="1">
      <alignment horizontal="left" vertical="center"/>
    </xf>
    <xf numFmtId="167" fontId="9" fillId="2" borderId="1" xfId="0" applyNumberFormat="1" applyFont="1" applyFill="1" applyBorder="1" applyAlignment="1">
      <alignment horizontal="center" vertical="center"/>
    </xf>
    <xf numFmtId="164" fontId="9" fillId="2" borderId="1" xfId="0" applyNumberFormat="1" applyFont="1" applyFill="1" applyBorder="1" applyAlignment="1">
      <alignment horizontal="center" vertical="center"/>
    </xf>
    <xf numFmtId="166" fontId="9" fillId="2" borderId="1" xfId="0" applyNumberFormat="1" applyFont="1" applyFill="1" applyBorder="1" applyAlignment="1">
      <alignment horizontal="center" vertical="center"/>
    </xf>
    <xf numFmtId="165" fontId="9" fillId="2" borderId="1" xfId="0" applyNumberFormat="1" applyFont="1" applyFill="1" applyBorder="1" applyAlignment="1">
      <alignment horizontal="center" vertical="center"/>
    </xf>
    <xf numFmtId="1" fontId="9" fillId="2" borderId="1" xfId="0" applyNumberFormat="1" applyFont="1" applyFill="1" applyBorder="1" applyAlignment="1">
      <alignment horizontal="center" vertical="center"/>
    </xf>
    <xf numFmtId="0" fontId="9" fillId="0" borderId="1" xfId="0" applyFont="1" applyBorder="1" applyAlignment="1">
      <alignment horizontal="left" vertical="center"/>
    </xf>
    <xf numFmtId="164" fontId="9" fillId="0" borderId="1" xfId="0" applyNumberFormat="1" applyFont="1" applyBorder="1" applyAlignment="1">
      <alignment horizontal="right" vertical="center"/>
    </xf>
    <xf numFmtId="0" fontId="9" fillId="0" borderId="1" xfId="0" applyFont="1" applyBorder="1" applyAlignment="1">
      <alignment horizontal="center" vertical="center"/>
    </xf>
    <xf numFmtId="165" fontId="9" fillId="0" borderId="1" xfId="0" applyNumberFormat="1" applyFont="1" applyBorder="1" applyAlignment="1">
      <alignment horizontal="center" vertical="center"/>
    </xf>
    <xf numFmtId="14" fontId="9" fillId="0" borderId="1" xfId="0" applyNumberFormat="1" applyFont="1" applyBorder="1" applyAlignment="1">
      <alignment horizontal="center" vertical="center"/>
    </xf>
    <xf numFmtId="0" fontId="9" fillId="2" borderId="1" xfId="0" applyFont="1" applyFill="1" applyBorder="1" applyAlignment="1">
      <alignment horizontal="left" vertical="center"/>
    </xf>
    <xf numFmtId="164" fontId="9" fillId="2" borderId="1" xfId="0" applyNumberFormat="1" applyFont="1" applyFill="1" applyBorder="1" applyAlignment="1">
      <alignment horizontal="right" vertical="center"/>
    </xf>
    <xf numFmtId="0" fontId="9" fillId="2" borderId="1" xfId="0" applyFont="1" applyFill="1" applyBorder="1" applyAlignment="1">
      <alignment horizontal="center" vertical="center"/>
    </xf>
    <xf numFmtId="14" fontId="9" fillId="2" borderId="1" xfId="0" applyNumberFormat="1" applyFont="1" applyFill="1" applyBorder="1" applyAlignment="1">
      <alignment horizontal="center" vertical="center"/>
    </xf>
    <xf numFmtId="0" fontId="19" fillId="3" borderId="2" xfId="0" applyFont="1" applyFill="1" applyBorder="1" applyAlignment="1">
      <alignment horizontal="left" vertical="center"/>
    </xf>
    <xf numFmtId="0" fontId="9" fillId="3" borderId="1" xfId="0" applyFont="1" applyFill="1" applyBorder="1" applyAlignment="1">
      <alignment horizontal="center" vertical="center"/>
    </xf>
    <xf numFmtId="164" fontId="9" fillId="3" borderId="1" xfId="0" applyNumberFormat="1" applyFont="1" applyFill="1" applyBorder="1" applyAlignment="1">
      <alignment horizontal="left" vertical="center"/>
    </xf>
    <xf numFmtId="167" fontId="9" fillId="3" borderId="5" xfId="0" applyNumberFormat="1" applyFont="1" applyFill="1" applyBorder="1" applyAlignment="1">
      <alignment horizontal="left" vertical="center"/>
    </xf>
    <xf numFmtId="0" fontId="9" fillId="7" borderId="2" xfId="0" applyFont="1" applyFill="1" applyBorder="1" applyAlignment="1">
      <alignment horizontal="left" vertical="center"/>
    </xf>
    <xf numFmtId="0" fontId="9" fillId="7" borderId="1" xfId="0" applyFont="1" applyFill="1" applyBorder="1" applyAlignment="1">
      <alignment horizontal="center" vertical="center"/>
    </xf>
    <xf numFmtId="164" fontId="9" fillId="7" borderId="1" xfId="0" applyNumberFormat="1" applyFont="1" applyFill="1" applyBorder="1" applyAlignment="1">
      <alignment horizontal="left" vertical="center"/>
    </xf>
    <xf numFmtId="166" fontId="9" fillId="7" borderId="1" xfId="0" applyNumberFormat="1" applyFont="1" applyFill="1" applyBorder="1" applyAlignment="1">
      <alignment horizontal="center" vertical="center"/>
    </xf>
    <xf numFmtId="165" fontId="9" fillId="7" borderId="1" xfId="0" applyNumberFormat="1" applyFont="1" applyFill="1" applyBorder="1" applyAlignment="1">
      <alignment horizontal="center" vertical="center"/>
    </xf>
    <xf numFmtId="1" fontId="9" fillId="7" borderId="1" xfId="0" applyNumberFormat="1" applyFont="1" applyFill="1" applyBorder="1" applyAlignment="1">
      <alignment horizontal="center" vertical="center"/>
    </xf>
    <xf numFmtId="167" fontId="9" fillId="7" borderId="5" xfId="0" applyNumberFormat="1" applyFont="1" applyFill="1" applyBorder="1" applyAlignment="1">
      <alignment horizontal="left" vertical="center"/>
    </xf>
    <xf numFmtId="0" fontId="9" fillId="3" borderId="2" xfId="0" applyFont="1" applyFill="1" applyBorder="1" applyAlignment="1">
      <alignment horizontal="left" vertical="center"/>
    </xf>
    <xf numFmtId="0" fontId="19" fillId="7" borderId="2" xfId="0" applyFont="1" applyFill="1" applyBorder="1" applyAlignment="1">
      <alignment horizontal="left" vertical="center"/>
    </xf>
    <xf numFmtId="0" fontId="9" fillId="3" borderId="8" xfId="0" applyFont="1" applyFill="1" applyBorder="1" applyAlignment="1">
      <alignment horizontal="left" vertical="center"/>
    </xf>
    <xf numFmtId="0" fontId="9" fillId="3" borderId="3" xfId="0" applyFont="1" applyFill="1" applyBorder="1" applyAlignment="1">
      <alignment horizontal="center" vertical="center"/>
    </xf>
    <xf numFmtId="164" fontId="9" fillId="3" borderId="3" xfId="0" applyNumberFormat="1" applyFont="1" applyFill="1" applyBorder="1" applyAlignment="1">
      <alignment horizontal="left" vertical="center"/>
    </xf>
    <xf numFmtId="166" fontId="9" fillId="3" borderId="3" xfId="0" applyNumberFormat="1" applyFont="1" applyFill="1" applyBorder="1" applyAlignment="1">
      <alignment horizontal="center" vertical="center"/>
    </xf>
    <xf numFmtId="165" fontId="9" fillId="3" borderId="3" xfId="0" applyNumberFormat="1" applyFont="1" applyFill="1" applyBorder="1" applyAlignment="1">
      <alignment horizontal="center" vertical="center"/>
    </xf>
    <xf numFmtId="1" fontId="9" fillId="3" borderId="3" xfId="0" applyNumberFormat="1" applyFont="1" applyFill="1" applyBorder="1" applyAlignment="1">
      <alignment horizontal="center" vertical="center"/>
    </xf>
    <xf numFmtId="167" fontId="9" fillId="3" borderId="9" xfId="0" applyNumberFormat="1" applyFont="1" applyFill="1" applyBorder="1" applyAlignment="1">
      <alignment horizontal="left" vertical="center"/>
    </xf>
    <xf numFmtId="0" fontId="13" fillId="0" borderId="0" xfId="0" applyFont="1" applyAlignment="1">
      <alignment horizontal="left" vertical="center"/>
    </xf>
    <xf numFmtId="0" fontId="21" fillId="0" borderId="0" xfId="0" applyFont="1"/>
    <xf numFmtId="0" fontId="22" fillId="6" borderId="6"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7" xfId="0" applyFont="1" applyFill="1" applyBorder="1" applyAlignment="1">
      <alignment horizontal="center" vertical="center"/>
    </xf>
    <xf numFmtId="0" fontId="10" fillId="0" borderId="0" xfId="0" applyFont="1"/>
    <xf numFmtId="0" fontId="19" fillId="4" borderId="1" xfId="0" applyFont="1" applyFill="1" applyBorder="1" applyAlignment="1">
      <alignment horizontal="center" vertical="center"/>
    </xf>
    <xf numFmtId="0" fontId="23" fillId="0" borderId="0" xfId="0" applyFont="1" applyAlignment="1">
      <alignment horizontal="left" vertical="center"/>
    </xf>
    <xf numFmtId="0" fontId="5" fillId="5" borderId="0" xfId="0" applyFont="1" applyFill="1" applyAlignment="1"/>
    <xf numFmtId="0" fontId="17" fillId="6" borderId="16" xfId="0" applyFont="1" applyFill="1" applyBorder="1" applyAlignment="1">
      <alignment horizontal="center" vertical="center"/>
    </xf>
    <xf numFmtId="0" fontId="20" fillId="9" borderId="1" xfId="0" applyFont="1" applyFill="1" applyBorder="1" applyAlignment="1">
      <alignment horizontal="center" vertical="center" wrapText="1"/>
    </xf>
    <xf numFmtId="0" fontId="9" fillId="10" borderId="1" xfId="0" applyFont="1" applyFill="1" applyBorder="1" applyAlignment="1">
      <alignment horizontal="left" vertical="center"/>
    </xf>
    <xf numFmtId="164" fontId="9" fillId="10" borderId="1" xfId="0" applyNumberFormat="1" applyFont="1" applyFill="1" applyBorder="1" applyAlignment="1">
      <alignment horizontal="center" vertical="center"/>
    </xf>
    <xf numFmtId="166" fontId="9" fillId="10" borderId="1" xfId="0" applyNumberFormat="1" applyFont="1" applyFill="1" applyBorder="1" applyAlignment="1">
      <alignment horizontal="center" vertical="center"/>
    </xf>
    <xf numFmtId="167" fontId="9" fillId="10" borderId="1" xfId="0" applyNumberFormat="1" applyFont="1" applyFill="1" applyBorder="1" applyAlignment="1">
      <alignment horizontal="center" vertical="center"/>
    </xf>
    <xf numFmtId="0" fontId="17" fillId="9" borderId="0" xfId="0" applyFont="1" applyFill="1" applyAlignment="1">
      <alignment horizontal="center" vertical="center"/>
    </xf>
    <xf numFmtId="0" fontId="5" fillId="9" borderId="0" xfId="0" applyFont="1" applyFill="1"/>
    <xf numFmtId="0" fontId="8" fillId="10" borderId="1" xfId="0" applyFont="1" applyFill="1" applyBorder="1" applyAlignment="1">
      <alignment horizontal="left" vertical="center"/>
    </xf>
    <xf numFmtId="0" fontId="20" fillId="9" borderId="1" xfId="0" applyFont="1" applyFill="1" applyBorder="1" applyAlignment="1">
      <alignment horizontal="center" vertical="center"/>
    </xf>
    <xf numFmtId="0" fontId="19" fillId="0" borderId="1" xfId="0" applyFont="1" applyBorder="1" applyAlignment="1">
      <alignment horizontal="left" vertical="center"/>
    </xf>
    <xf numFmtId="0" fontId="4" fillId="0" borderId="0" xfId="0" applyFont="1"/>
    <xf numFmtId="0" fontId="10" fillId="11" borderId="0" xfId="0" applyFont="1" applyFill="1"/>
    <xf numFmtId="170" fontId="10" fillId="11" borderId="0" xfId="0" applyNumberFormat="1" applyFont="1" applyFill="1" applyAlignment="1">
      <alignment horizontal="left"/>
    </xf>
    <xf numFmtId="1" fontId="10" fillId="11" borderId="0" xfId="0" applyNumberFormat="1" applyFont="1" applyFill="1" applyAlignment="1">
      <alignment horizontal="center"/>
    </xf>
    <xf numFmtId="9" fontId="10" fillId="11" borderId="0" xfId="0" applyNumberFormat="1" applyFont="1" applyFill="1" applyAlignment="1">
      <alignment horizontal="center"/>
    </xf>
    <xf numFmtId="0" fontId="10" fillId="11" borderId="0" xfId="0" applyFont="1" applyFill="1" applyAlignment="1">
      <alignment horizontal="center"/>
    </xf>
    <xf numFmtId="9" fontId="10" fillId="10" borderId="0" xfId="0" applyNumberFormat="1" applyFont="1" applyFill="1" applyAlignment="1">
      <alignment horizontal="center"/>
    </xf>
    <xf numFmtId="0" fontId="10" fillId="10" borderId="0" xfId="0" applyFont="1" applyFill="1"/>
    <xf numFmtId="170" fontId="10" fillId="10" borderId="0" xfId="0" applyNumberFormat="1" applyFont="1" applyFill="1" applyAlignment="1">
      <alignment horizontal="left"/>
    </xf>
    <xf numFmtId="1" fontId="10" fillId="10" borderId="0" xfId="0" applyNumberFormat="1" applyFont="1" applyFill="1" applyAlignment="1">
      <alignment horizontal="center"/>
    </xf>
    <xf numFmtId="0" fontId="10" fillId="10" borderId="0" xfId="0" applyFont="1" applyFill="1" applyAlignment="1">
      <alignment horizontal="center"/>
    </xf>
    <xf numFmtId="49" fontId="10" fillId="11" borderId="1" xfId="0" applyNumberFormat="1" applyFont="1" applyFill="1" applyBorder="1" applyAlignment="1">
      <alignment horizontal="center" vertical="center"/>
    </xf>
    <xf numFmtId="49" fontId="10" fillId="10" borderId="1" xfId="0" applyNumberFormat="1" applyFont="1" applyFill="1" applyBorder="1" applyAlignment="1">
      <alignment horizontal="center" vertical="center"/>
    </xf>
    <xf numFmtId="0" fontId="24" fillId="11" borderId="0" xfId="0" applyFont="1" applyFill="1" applyAlignment="1">
      <alignment horizontal="center" vertical="center"/>
    </xf>
    <xf numFmtId="0" fontId="24" fillId="11" borderId="1" xfId="0" applyFont="1" applyFill="1" applyBorder="1" applyAlignment="1">
      <alignment horizontal="center" vertical="center"/>
    </xf>
  </cellXfs>
  <cellStyles count="1">
    <cellStyle name="Normal" xfId="0" builtinId="0"/>
  </cellStyles>
  <dxfs count="46">
    <dxf>
      <font>
        <b/>
        <i val="0"/>
        <strike val="0"/>
        <condense val="0"/>
        <extend val="0"/>
        <outline val="0"/>
        <shadow val="0"/>
        <u val="none"/>
        <vertAlign val="baseline"/>
        <sz val="11"/>
        <color theme="1" tint="4.9989318521683403E-2"/>
        <name val="Montserrat"/>
        <scheme val="none"/>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strike val="0"/>
        <outline val="0"/>
        <shadow val="0"/>
        <u val="none"/>
        <vertAlign val="baseline"/>
        <sz val="10"/>
        <color theme="1"/>
        <name val="Montserrat"/>
        <scheme val="none"/>
      </font>
    </dxf>
    <dxf>
      <font>
        <strike val="0"/>
        <outline val="0"/>
        <shadow val="0"/>
        <u val="none"/>
        <vertAlign val="baseline"/>
        <sz val="10"/>
        <color theme="1"/>
        <name val="Montserrat"/>
        <scheme val="none"/>
      </font>
      <numFmt numFmtId="170" formatCode="&quot;£&quot;#,##0.00"/>
      <alignment horizontal="left" vertical="bottom" textRotation="0" wrapText="0" indent="0" justifyLastLine="0" shrinkToFit="0" readingOrder="0"/>
    </dxf>
    <dxf>
      <font>
        <strike val="0"/>
        <outline val="0"/>
        <shadow val="0"/>
        <u val="none"/>
        <vertAlign val="baseline"/>
        <sz val="10"/>
        <color theme="1"/>
        <name val="Montserrat"/>
        <scheme val="none"/>
      </font>
      <alignment horizontal="center" vertical="bottom" textRotation="0" wrapText="0" indent="0" justifyLastLine="0" shrinkToFit="0" readingOrder="0"/>
    </dxf>
    <dxf>
      <font>
        <strike val="0"/>
        <outline val="0"/>
        <shadow val="0"/>
        <u val="none"/>
        <vertAlign val="baseline"/>
        <sz val="10"/>
        <color theme="1"/>
        <name val="Montserrat"/>
        <scheme val="none"/>
      </font>
      <alignment horizontal="center" vertical="bottom" textRotation="0" wrapText="0" indent="0" justifyLastLine="0" shrinkToFit="0" readingOrder="0"/>
    </dxf>
    <dxf>
      <font>
        <strike val="0"/>
        <outline val="0"/>
        <shadow val="0"/>
        <u val="none"/>
        <vertAlign val="baseline"/>
        <sz val="10"/>
        <color theme="1"/>
        <name val="Montserrat"/>
        <scheme val="none"/>
      </font>
      <numFmt numFmtId="13" formatCode="0%"/>
      <alignment horizontal="center" vertical="bottom" textRotation="0" wrapText="0" indent="0" justifyLastLine="0" shrinkToFit="0" readingOrder="0"/>
    </dxf>
    <dxf>
      <font>
        <strike val="0"/>
        <outline val="0"/>
        <shadow val="0"/>
        <u val="none"/>
        <vertAlign val="baseline"/>
        <sz val="10"/>
        <color theme="1"/>
        <name val="Montserrat"/>
        <scheme val="none"/>
      </font>
      <numFmt numFmtId="1" formatCode="0"/>
      <alignment horizontal="center" vertical="bottom" textRotation="0" wrapText="0" indent="0" justifyLastLine="0" shrinkToFit="0" readingOrder="0"/>
    </dxf>
    <dxf>
      <font>
        <strike val="0"/>
        <outline val="0"/>
        <shadow val="0"/>
        <u val="none"/>
        <vertAlign val="baseline"/>
        <sz val="10"/>
        <color theme="1"/>
        <name val="Montserrat"/>
        <scheme val="none"/>
      </font>
      <numFmt numFmtId="170" formatCode="&quot;£&quot;#,##0.00"/>
      <alignment horizontal="left" vertical="bottom" textRotation="0" wrapText="0" indent="0" justifyLastLine="0" shrinkToFit="0" readingOrder="0"/>
    </dxf>
    <dxf>
      <font>
        <b val="0"/>
        <i val="0"/>
        <strike val="0"/>
        <condense val="0"/>
        <extend val="0"/>
        <outline val="0"/>
        <shadow val="0"/>
        <u val="none"/>
        <vertAlign val="baseline"/>
        <sz val="10"/>
        <color theme="1"/>
        <name val="Montserrat"/>
        <scheme val="none"/>
      </font>
      <numFmt numFmtId="30" formatCode="@"/>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top style="thin">
          <color rgb="FFCCCCCC"/>
        </top>
        <bottom style="thin">
          <color rgb="FFCCCCCC"/>
        </bottom>
      </border>
    </dxf>
    <dxf>
      <font>
        <strike val="0"/>
        <outline val="0"/>
        <shadow val="0"/>
        <u val="none"/>
        <vertAlign val="baseline"/>
        <sz val="10"/>
        <color theme="1"/>
        <name val="Montserrat"/>
        <scheme val="none"/>
      </font>
    </dxf>
    <dxf>
      <font>
        <b/>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fill>
        <patternFill patternType="solid">
          <fgColor indexed="64"/>
          <bgColor theme="4" tint="-0.249977111117893"/>
        </patternFill>
      </fill>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strike val="0"/>
        <outline val="0"/>
        <shadow val="0"/>
        <u val="none"/>
        <vertAlign val="baseline"/>
        <sz val="10"/>
        <name val="Montserrat"/>
        <scheme val="none"/>
      </font>
    </dxf>
    <dxf>
      <font>
        <b val="0"/>
        <i val="0"/>
        <strike val="0"/>
        <condense val="0"/>
        <extend val="0"/>
        <outline val="0"/>
        <shadow val="0"/>
        <u val="none"/>
        <vertAlign val="baseline"/>
        <sz val="10"/>
        <color rgb="FF444444"/>
        <name val="Montserrat"/>
        <scheme val="none"/>
      </font>
      <fill>
        <patternFill patternType="solid">
          <fgColor indexed="64"/>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rgb="FF444444"/>
        <name val="Montserrat"/>
        <scheme val="none"/>
      </font>
      <numFmt numFmtId="167" formatCode="\£#,##0"/>
      <fill>
        <patternFill patternType="solid">
          <fgColor indexed="64"/>
          <bgColor rgb="FFFFFFFF"/>
        </patternFill>
      </fill>
      <alignment horizontal="left" vertical="center" textRotation="0" wrapText="0" indent="0" justifyLastLine="0" shrinkToFit="0" readingOrder="0"/>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numFmt numFmtId="1" formatCode="0"/>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numFmt numFmtId="1" formatCode="0"/>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numFmt numFmtId="165" formatCode="0.0&quot;%&quo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numFmt numFmtId="166" formatCode="0.0"/>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numFmt numFmtId="164" formatCode="\£#,##0.00"/>
      <fill>
        <patternFill patternType="solid">
          <fgColor indexed="64"/>
          <bgColor rgb="FFFFFFFF"/>
        </patternFill>
      </fill>
      <alignment horizontal="left"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rgb="FF444444"/>
        <name val="Montserrat"/>
        <scheme val="none"/>
      </font>
      <fill>
        <patternFill patternType="solid">
          <fgColor indexed="64"/>
          <bgColor rgb="FFFFFFFF"/>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style="thin">
          <color rgb="FFCCCCCC"/>
        </bottom>
      </border>
    </dxf>
    <dxf>
      <font>
        <strike val="0"/>
        <outline val="0"/>
        <shadow val="0"/>
        <u val="none"/>
        <vertAlign val="baseline"/>
        <sz val="10"/>
        <color rgb="FF444444"/>
        <name val="Montserrat"/>
        <scheme val="none"/>
      </font>
    </dxf>
    <dxf>
      <font>
        <b/>
        <i val="0"/>
        <strike val="0"/>
        <condense val="0"/>
        <extend val="0"/>
        <outline val="0"/>
        <shadow val="0"/>
        <u val="none"/>
        <vertAlign val="baseline"/>
        <sz val="11"/>
        <color rgb="FFFFFFFF"/>
        <name val="Montserrat"/>
        <scheme val="none"/>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sz val="10"/>
        <color rgb="FF375623"/>
        <name val="Calibri"/>
      </font>
      <fill>
        <patternFill patternType="solid">
          <fgColor rgb="FFE2EFDA"/>
        </patternFill>
      </fill>
    </dxf>
    <dxf>
      <font>
        <b/>
        <sz val="10"/>
        <color rgb="FFBA7517"/>
        <name val="Calibri"/>
      </font>
      <fill>
        <patternFill patternType="solid">
          <fgColor rgb="FFFFEB9C"/>
        </patternFill>
      </fill>
    </dxf>
    <dxf>
      <font>
        <b/>
        <sz val="10"/>
        <color rgb="FF9C0006"/>
        <name val="Calibri"/>
      </font>
      <fill>
        <patternFill patternType="solid">
          <fgColor rgb="FFFFC7CE"/>
        </patternFill>
      </fill>
    </dxf>
    <dxf>
      <font>
        <b/>
        <sz val="10"/>
        <color rgb="FF375623"/>
        <name val="Calibri"/>
      </font>
      <fill>
        <patternFill patternType="solid">
          <fgColor rgb="FFE2EFDA"/>
        </patternFill>
      </fill>
    </dxf>
    <dxf>
      <font>
        <b/>
        <sz val="10"/>
        <color rgb="FFBA7517"/>
        <name val="Calibri"/>
      </font>
      <fill>
        <patternFill patternType="solid">
          <fgColor rgb="FFFFEB9C"/>
        </patternFill>
      </fill>
    </dxf>
    <dxf>
      <font>
        <b/>
        <sz val="10"/>
        <color rgb="FF9C0006"/>
        <name val="Calibri"/>
      </font>
      <fill>
        <patternFill patternType="solid">
          <fgColor rgb="FFFFC7CE"/>
        </patternFill>
      </fill>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8</xdr:col>
      <xdr:colOff>428625</xdr:colOff>
      <xdr:row>4</xdr:row>
      <xdr:rowOff>133350</xdr:rowOff>
    </xdr:from>
    <xdr:to>
      <xdr:col>11</xdr:col>
      <xdr:colOff>200025</xdr:colOff>
      <xdr:row>13</xdr:row>
      <xdr:rowOff>28575</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65B708A2-3054-746D-4716-EA3201E610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632799" y="1301198"/>
              <a:ext cx="1833769" cy="175881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400050</xdr:colOff>
      <xdr:row>22</xdr:row>
      <xdr:rowOff>200025</xdr:rowOff>
    </xdr:from>
    <xdr:to>
      <xdr:col>11</xdr:col>
      <xdr:colOff>171450</xdr:colOff>
      <xdr:row>34</xdr:row>
      <xdr:rowOff>95250</xdr:rowOff>
    </xdr:to>
    <mc:AlternateContent xmlns:mc="http://schemas.openxmlformats.org/markup-compatibility/2006">
      <mc:Choice xmlns:sle15="http://schemas.microsoft.com/office/drawing/2012/slicer" Requires="sle15">
        <xdr:graphicFrame macro="">
          <xdr:nvGraphicFramePr>
            <xdr:cNvPr id="3" name="Country">
              <a:extLst>
                <a:ext uri="{FF2B5EF4-FFF2-40B4-BE49-F238E27FC236}">
                  <a16:creationId xmlns:a16="http://schemas.microsoft.com/office/drawing/2014/main" id="{E1B36DFE-FD4E-6556-516D-AF8E122D8F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604224" y="5351808"/>
              <a:ext cx="1833769" cy="24793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520F59-78B2-4890-B261-1C0903DA0B00}" sourceName="Category">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DD9768-6266-4C94-A9F0-03AEAF831055}" sourceName="Countr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EDE4B7-B584-4065-B5DF-706DB1747830}" cache="Slicer_Category" caption="Category" rowHeight="241300"/>
  <slicer name="Country" xr10:uid="{25ACBEE2-446A-4762-8E4E-7C75A0CD5EC3}"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uppliers" displayName="tblSuppliers" ref="A1:N501" headerRowDxfId="14" dataDxfId="12" totalsRowDxfId="13">
  <autoFilter ref="A1:N501" xr:uid="{00000000-0009-0000-0100-000001000000}"/>
  <tableColumns count="14">
    <tableColumn id="1" xr3:uid="{00000000-0010-0000-0000-000001000000}" name="Supplier ID" dataDxfId="10"/>
    <tableColumn id="2" xr3:uid="{00000000-0010-0000-0000-000002000000}" name="Supplier Name" dataDxfId="11"/>
    <tableColumn id="3" xr3:uid="{00000000-0010-0000-0000-000003000000}" name="Category" dataDxfId="26"/>
    <tableColumn id="4" xr3:uid="{00000000-0010-0000-0000-000004000000}" name="Supplier Tier" dataDxfId="25"/>
    <tableColumn id="5" xr3:uid="{00000000-0010-0000-0000-000005000000}" name="Country" dataDxfId="24"/>
    <tableColumn id="6" xr3:uid="{00000000-0010-0000-0000-000006000000}" name="Category Manager" dataDxfId="23"/>
    <tableColumn id="7" xr3:uid="{00000000-0010-0000-0000-000007000000}" name="Unit Cost (£)" dataDxfId="22"/>
    <tableColumn id="8" xr3:uid="{00000000-0010-0000-0000-000008000000}" name="Lead Days" dataDxfId="21"/>
    <tableColumn id="9" xr3:uid="{00000000-0010-0000-0000-000009000000}" name="On-Time Delivery (%)" dataDxfId="20"/>
    <tableColumn id="10" xr3:uid="{00000000-0010-0000-0000-00000A000000}" name="Annual Orders" dataDxfId="19"/>
    <tableColumn id="11" xr3:uid="{00000000-0010-0000-0000-00000B000000}" name="Annual Spend (£)" dataDxfId="18"/>
    <tableColumn id="12" xr3:uid="{00000000-0010-0000-0000-00000C000000}" name="Contract Expiry" dataDxfId="17"/>
    <tableColumn id="13" xr3:uid="{00000000-0010-0000-0000-00000D000000}" name="Health Flag" dataDxfId="16"/>
    <tableColumn id="14" xr3:uid="{00000000-0010-0000-0000-00000E000000}" name="Cost Band" dataDxfId="15"/>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F02397-6899-4FE7-ADF6-C2D4E91B2868}" name="Table3" displayName="Table3" ref="A3:H18" totalsRowShown="0" headerRowDxfId="36" dataDxfId="27" headerRowBorderDxfId="45" tableBorderDxfId="44" totalsRowBorderDxfId="43">
  <autoFilter ref="A3:H18" xr:uid="{36F02397-6899-4FE7-ADF6-C2D4E91B2868}"/>
  <tableColumns count="8">
    <tableColumn id="1" xr3:uid="{82106578-67F8-4054-A5E1-EF303AEAFAA7}" name="Category" dataDxfId="35"/>
    <tableColumn id="2" xr3:uid="{850996D8-5748-4152-BD1C-7ABE579BAD6A}" name="Supplier Tier" dataDxfId="34"/>
    <tableColumn id="3" xr3:uid="{23CF7676-1753-447F-B291-F5EF60F3CA29}" name="Avg Unit Cost (£)" dataDxfId="33">
      <calculatedColumnFormula>IFERROR(AVERAGEIFS('1_Raw_Data'!G:G,'1_Raw_Data'!C:C,A4,'1_Raw_Data'!D:D,B4),"-")</calculatedColumnFormula>
    </tableColumn>
    <tableColumn id="4" xr3:uid="{9B96FD92-A070-4266-9C20-305519DC464D}" name="Avg Lead Days" dataDxfId="32">
      <calculatedColumnFormula>IFERROR(AVERAGEIFS('1_Raw_Data'!H:H,'1_Raw_Data'!C:C,A4,'1_Raw_Data'!D:D,B4),"-")</calculatedColumnFormula>
    </tableColumn>
    <tableColumn id="5" xr3:uid="{378C9417-801F-462E-AC78-4AA5BE285992}" name="Avg On-Time %" dataDxfId="31">
      <calculatedColumnFormula>IFERROR(AVERAGEIFS('1_Raw_Data'!I:I,'1_Raw_Data'!C:C,A4,'1_Raw_Data'!D:D,B4),"-")</calculatedColumnFormula>
    </tableColumn>
    <tableColumn id="6" xr3:uid="{5E549395-7E4D-41DD-B44A-F80D49156B77}" name="Supplier Count" dataDxfId="30">
      <calculatedColumnFormula>COUNTIFS('1_Raw_Data'!C:C,A4,'1_Raw_Data'!D:D,B4)</calculatedColumnFormula>
    </tableColumn>
    <tableColumn id="7" xr3:uid="{9956DFC8-A4D3-4B18-97B6-6ED94B9BC78C}" name="At-Risk Count" dataDxfId="29">
      <calculatedColumnFormula>COUNTIFS('1_Raw_Data'!C:C,A4,'1_Raw_Data'!D:D,B4,'1_Raw_Data'!M:M,"At Risk")</calculatedColumnFormula>
    </tableColumn>
    <tableColumn id="8" xr3:uid="{8AAD4FCC-44D3-440F-BC30-27818D2D50F0}" name="Total Annual Spend (£)" dataDxfId="28">
      <calculatedColumnFormula>IFERROR(SUMIFS('1_Raw_Data'!K:K,'1_Raw_Data'!C:C,A4,'1_Raw_Data'!D:D,B4),0)</calculatedColumnFormula>
    </tableColumn>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94D5B0-E9D9-4595-9EF8-B0A5BC048F8E}" name="Table2" displayName="Table2" ref="A22:H46" totalsRowShown="0" headerRowDxfId="0" dataDxfId="1">
  <autoFilter ref="A22:H46" xr:uid="{3294D5B0-E9D9-4595-9EF8-B0A5BC048F8E}"/>
  <tableColumns count="8">
    <tableColumn id="1" xr3:uid="{50FD2D5F-582B-49D6-BBD6-0C564398DDED}" name="Country" dataDxfId="9"/>
    <tableColumn id="2" xr3:uid="{6CBBC9C2-37A6-4227-B3FD-CCCF03B55434}" name="Supplier Tier" dataDxfId="8"/>
    <tableColumn id="3" xr3:uid="{7306CAAD-89F4-479E-A265-9564C0CD1B9E}" name="Avg Unit Cost (£)" dataDxfId="7">
      <calculatedColumnFormula>IFERROR(AVERAGEIFS('1_Raw_Data'!G:G,'1_Raw_Data'!E:E,A23,'1_Raw_Data'!D:D,B23),"-")</calculatedColumnFormula>
    </tableColumn>
    <tableColumn id="4" xr3:uid="{B44FDA0B-EEBC-4C3C-A4CB-14CAD5CB60FD}" name="Avg Lead Days" dataDxfId="6">
      <calculatedColumnFormula>IFERROR(AVERAGEIFS('1_Raw_Data'!H:H,'1_Raw_Data'!E:E,A23,'1_Raw_Data'!D:D,B23),"-")</calculatedColumnFormula>
    </tableColumn>
    <tableColumn id="5" xr3:uid="{519A75FA-A322-4912-96C9-E176E4639A65}" name="Avg On-Time %" dataDxfId="5">
      <calculatedColumnFormula>AVERAGEIFS('1_Raw_Data'!$I$2:$I$500, '1_Raw_Data'!$E$2:$E$500, $A23, '1_Raw_Data'!$D$2:$D$500, $B23)/100</calculatedColumnFormula>
    </tableColumn>
    <tableColumn id="6" xr3:uid="{6C213E99-5DA1-4648-A4D9-98DC8CE0723F}" name="Supplier Count" dataDxfId="4">
      <calculatedColumnFormula>COUNTIFS('1_Raw_Data'!$E$2:$E$500, $A23, '1_Raw_Data'!$D$2:$D$500, $B23)</calculatedColumnFormula>
    </tableColumn>
    <tableColumn id="7" xr3:uid="{471F996A-BB8C-4429-BFAB-6B37A3103AE6}" name="At-Risk Count" dataDxfId="3">
      <calculatedColumnFormula>COUNTIFS('1_Raw_Data'!$E$2:$E$500, $A23, '1_Raw_Data'!$D$2:$D$500, $B23, '1_Raw_Data'!$M$2:$M$500, "At Risk")</calculatedColumnFormula>
    </tableColumn>
    <tableColumn id="8" xr3:uid="{E3053752-0CB2-481A-BDE5-C4DBADA28BFB}" name="Total Annual Spend (£)" dataDxfId="2">
      <calculatedColumnFormula>SUMIFS('1_Raw_Data'!$K$2:$K$500, '1_Raw_Data'!$E$2:$E$500, $A23, '1_Raw_Data'!$D$2:$D$500, $B23)</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01"/>
  <sheetViews>
    <sheetView tabSelected="1" zoomScale="85" zoomScaleNormal="85" workbookViewId="0">
      <pane ySplit="1" topLeftCell="A2" activePane="bottomLeft" state="frozen"/>
      <selection pane="bottomLeft" activeCell="E487" sqref="E487"/>
    </sheetView>
  </sheetViews>
  <sheetFormatPr defaultRowHeight="15" x14ac:dyDescent="0.25"/>
  <cols>
    <col min="1" max="1" width="11.875" style="127" customWidth="1"/>
    <col min="2" max="2" width="20.625" customWidth="1"/>
    <col min="3" max="3" width="15.875" customWidth="1"/>
    <col min="4" max="4" width="12.875" customWidth="1"/>
    <col min="5" max="5" width="13.875" customWidth="1"/>
    <col min="6" max="6" width="17.875" customWidth="1"/>
    <col min="7" max="7" width="14.875" customWidth="1"/>
    <col min="8" max="8" width="10.875" customWidth="1"/>
    <col min="9" max="9" width="19.875" customWidth="1"/>
    <col min="10" max="10" width="13.875" customWidth="1"/>
    <col min="11" max="12" width="15.875" customWidth="1"/>
    <col min="13" max="14" width="11.875" customWidth="1"/>
  </cols>
  <sheetData>
    <row r="1" spans="1:14" ht="27.95" customHeight="1" x14ac:dyDescent="0.2">
      <c r="A1" s="125" t="s">
        <v>0</v>
      </c>
      <c r="B1" s="125" t="s">
        <v>1</v>
      </c>
      <c r="C1" s="125" t="s">
        <v>2</v>
      </c>
      <c r="D1" s="125" t="s">
        <v>3</v>
      </c>
      <c r="E1" s="125" t="s">
        <v>4</v>
      </c>
      <c r="F1" s="125" t="s">
        <v>5</v>
      </c>
      <c r="G1" s="125" t="s">
        <v>6</v>
      </c>
      <c r="H1" s="125" t="s">
        <v>7</v>
      </c>
      <c r="I1" s="125" t="s">
        <v>8</v>
      </c>
      <c r="J1" s="125" t="s">
        <v>9</v>
      </c>
      <c r="K1" s="125" t="s">
        <v>10</v>
      </c>
      <c r="L1" s="125" t="s">
        <v>11</v>
      </c>
      <c r="M1" s="125" t="s">
        <v>12</v>
      </c>
      <c r="N1" s="125" t="s">
        <v>13</v>
      </c>
    </row>
    <row r="2" spans="1:14" ht="16.5" x14ac:dyDescent="0.2">
      <c r="A2" s="72" t="s">
        <v>14</v>
      </c>
      <c r="B2" s="83" t="s">
        <v>15</v>
      </c>
      <c r="C2" s="83" t="s">
        <v>16</v>
      </c>
      <c r="D2" s="83" t="s">
        <v>17</v>
      </c>
      <c r="E2" s="83" t="s">
        <v>18</v>
      </c>
      <c r="F2" s="83" t="s">
        <v>19</v>
      </c>
      <c r="G2" s="84">
        <v>233.67</v>
      </c>
      <c r="H2" s="85">
        <v>9</v>
      </c>
      <c r="I2" s="76">
        <v>88.1</v>
      </c>
      <c r="J2" s="85">
        <v>356</v>
      </c>
      <c r="K2" s="84">
        <v>83186.52</v>
      </c>
      <c r="L2" s="86">
        <v>45470</v>
      </c>
      <c r="M2" s="85" t="str">
        <f t="shared" ref="M2:M65" si="0">IF(I2&lt;85,"At Risk",IF(I2&lt;92,"Monitor","OK"))</f>
        <v>Monitor</v>
      </c>
      <c r="N2" s="85" t="str">
        <f t="shared" ref="N2:N65" si="1">IF(G2&lt;50,"Low",IF(G2&lt;250,"Medium",IF(G2&lt;1000,"High","Premium")))</f>
        <v>Medium</v>
      </c>
    </row>
    <row r="3" spans="1:14" ht="16.5" x14ac:dyDescent="0.2">
      <c r="A3" s="126" t="s">
        <v>20</v>
      </c>
      <c r="B3" s="78" t="s">
        <v>21</v>
      </c>
      <c r="C3" s="78" t="s">
        <v>16</v>
      </c>
      <c r="D3" s="78" t="s">
        <v>17</v>
      </c>
      <c r="E3" s="78" t="s">
        <v>22</v>
      </c>
      <c r="F3" s="78" t="s">
        <v>19</v>
      </c>
      <c r="G3" s="79">
        <v>224.5</v>
      </c>
      <c r="H3" s="80">
        <v>39</v>
      </c>
      <c r="I3" s="81">
        <v>56.2</v>
      </c>
      <c r="J3" s="80">
        <v>111</v>
      </c>
      <c r="K3" s="79">
        <v>24919.5</v>
      </c>
      <c r="L3" s="82">
        <v>46151</v>
      </c>
      <c r="M3" s="80" t="str">
        <f t="shared" si="0"/>
        <v>At Risk</v>
      </c>
      <c r="N3" s="80" t="str">
        <f t="shared" si="1"/>
        <v>Medium</v>
      </c>
    </row>
    <row r="4" spans="1:14" ht="16.5" x14ac:dyDescent="0.2">
      <c r="A4" s="72" t="s">
        <v>23</v>
      </c>
      <c r="B4" s="83" t="s">
        <v>24</v>
      </c>
      <c r="C4" s="83" t="s">
        <v>25</v>
      </c>
      <c r="D4" s="83" t="s">
        <v>17</v>
      </c>
      <c r="E4" s="83" t="s">
        <v>26</v>
      </c>
      <c r="F4" s="83" t="s">
        <v>27</v>
      </c>
      <c r="G4" s="84">
        <v>61.19</v>
      </c>
      <c r="H4" s="85">
        <v>11</v>
      </c>
      <c r="I4" s="76">
        <v>86.4</v>
      </c>
      <c r="J4" s="85">
        <v>184</v>
      </c>
      <c r="K4" s="84">
        <v>11258.96</v>
      </c>
      <c r="L4" s="86">
        <v>45861</v>
      </c>
      <c r="M4" s="85" t="str">
        <f>IF(I4&lt;85,"At Risk",IF(I4&lt;92,"Monitor","OK"))</f>
        <v>Monitor</v>
      </c>
      <c r="N4" s="85" t="str">
        <f t="shared" si="1"/>
        <v>Medium</v>
      </c>
    </row>
    <row r="5" spans="1:14" ht="16.5" x14ac:dyDescent="0.2">
      <c r="A5" s="126" t="s">
        <v>28</v>
      </c>
      <c r="B5" s="78" t="s">
        <v>29</v>
      </c>
      <c r="C5" s="78" t="s">
        <v>30</v>
      </c>
      <c r="D5" s="78" t="s">
        <v>17</v>
      </c>
      <c r="E5" s="78" t="s">
        <v>31</v>
      </c>
      <c r="F5" s="78" t="s">
        <v>1072</v>
      </c>
      <c r="G5" s="79">
        <v>374.09</v>
      </c>
      <c r="H5" s="80">
        <v>55</v>
      </c>
      <c r="I5" s="81">
        <v>70.5</v>
      </c>
      <c r="J5" s="80">
        <v>145</v>
      </c>
      <c r="K5" s="79">
        <v>54243.05</v>
      </c>
      <c r="L5" s="82">
        <v>45380</v>
      </c>
      <c r="M5" s="80" t="str">
        <f t="shared" si="0"/>
        <v>At Risk</v>
      </c>
      <c r="N5" s="80" t="str">
        <f t="shared" si="1"/>
        <v>High</v>
      </c>
    </row>
    <row r="6" spans="1:14" ht="16.5" x14ac:dyDescent="0.2">
      <c r="A6" s="72" t="s">
        <v>32</v>
      </c>
      <c r="B6" s="83" t="s">
        <v>33</v>
      </c>
      <c r="C6" s="83" t="s">
        <v>16</v>
      </c>
      <c r="D6" s="83" t="s">
        <v>34</v>
      </c>
      <c r="E6" s="83" t="s">
        <v>31</v>
      </c>
      <c r="F6" s="83" t="s">
        <v>19</v>
      </c>
      <c r="G6" s="84">
        <v>109.1</v>
      </c>
      <c r="H6" s="85">
        <v>19</v>
      </c>
      <c r="I6" s="76">
        <v>92.3</v>
      </c>
      <c r="J6" s="85">
        <v>326</v>
      </c>
      <c r="K6" s="84">
        <v>35566.6</v>
      </c>
      <c r="L6" s="86">
        <v>46032</v>
      </c>
      <c r="M6" s="85" t="str">
        <f t="shared" si="0"/>
        <v>OK</v>
      </c>
      <c r="N6" s="85" t="str">
        <f t="shared" si="1"/>
        <v>Medium</v>
      </c>
    </row>
    <row r="7" spans="1:14" ht="16.5" x14ac:dyDescent="0.2">
      <c r="A7" s="126" t="s">
        <v>35</v>
      </c>
      <c r="B7" s="78" t="s">
        <v>36</v>
      </c>
      <c r="C7" s="78" t="s">
        <v>16</v>
      </c>
      <c r="D7" s="78" t="s">
        <v>17</v>
      </c>
      <c r="E7" s="78" t="s">
        <v>22</v>
      </c>
      <c r="F7" s="78" t="s">
        <v>19</v>
      </c>
      <c r="G7" s="79">
        <v>629.79999999999995</v>
      </c>
      <c r="H7" s="80">
        <v>6</v>
      </c>
      <c r="I7" s="81">
        <v>93.5</v>
      </c>
      <c r="J7" s="80">
        <v>453</v>
      </c>
      <c r="K7" s="79">
        <v>285299.40000000002</v>
      </c>
      <c r="L7" s="82">
        <v>45498</v>
      </c>
      <c r="M7" s="80" t="str">
        <f t="shared" si="0"/>
        <v>OK</v>
      </c>
      <c r="N7" s="80" t="str">
        <f t="shared" si="1"/>
        <v>High</v>
      </c>
    </row>
    <row r="8" spans="1:14" ht="16.5" x14ac:dyDescent="0.2">
      <c r="A8" s="72" t="s">
        <v>37</v>
      </c>
      <c r="B8" s="83" t="s">
        <v>38</v>
      </c>
      <c r="C8" s="83" t="s">
        <v>39</v>
      </c>
      <c r="D8" s="83" t="s">
        <v>40</v>
      </c>
      <c r="E8" s="83" t="s">
        <v>41</v>
      </c>
      <c r="F8" s="83" t="s">
        <v>42</v>
      </c>
      <c r="G8" s="84">
        <v>1064.47</v>
      </c>
      <c r="H8" s="85">
        <v>23</v>
      </c>
      <c r="I8" s="76">
        <v>64.400000000000006</v>
      </c>
      <c r="J8" s="85">
        <v>146</v>
      </c>
      <c r="K8" s="84">
        <v>155412.62</v>
      </c>
      <c r="L8" s="86">
        <v>45438</v>
      </c>
      <c r="M8" s="85" t="str">
        <f t="shared" si="0"/>
        <v>At Risk</v>
      </c>
      <c r="N8" s="85" t="str">
        <f t="shared" si="1"/>
        <v>Premium</v>
      </c>
    </row>
    <row r="9" spans="1:14" ht="16.5" x14ac:dyDescent="0.2">
      <c r="A9" s="126" t="s">
        <v>43</v>
      </c>
      <c r="B9" s="78" t="s">
        <v>44</v>
      </c>
      <c r="C9" s="78" t="s">
        <v>25</v>
      </c>
      <c r="D9" s="78" t="s">
        <v>40</v>
      </c>
      <c r="E9" s="78" t="s">
        <v>45</v>
      </c>
      <c r="F9" s="78" t="s">
        <v>27</v>
      </c>
      <c r="G9" s="79">
        <v>38.06</v>
      </c>
      <c r="H9" s="80">
        <v>18</v>
      </c>
      <c r="I9" s="81">
        <v>99.5</v>
      </c>
      <c r="J9" s="80">
        <v>337</v>
      </c>
      <c r="K9" s="79">
        <v>12826.22</v>
      </c>
      <c r="L9" s="82">
        <v>45741</v>
      </c>
      <c r="M9" s="80" t="str">
        <f t="shared" si="0"/>
        <v>OK</v>
      </c>
      <c r="N9" s="80" t="str">
        <f t="shared" si="1"/>
        <v>Low</v>
      </c>
    </row>
    <row r="10" spans="1:14" ht="16.5" x14ac:dyDescent="0.2">
      <c r="A10" s="72" t="s">
        <v>46</v>
      </c>
      <c r="B10" s="83" t="s">
        <v>47</v>
      </c>
      <c r="C10" s="83" t="s">
        <v>48</v>
      </c>
      <c r="D10" s="83" t="s">
        <v>34</v>
      </c>
      <c r="E10" s="83" t="s">
        <v>41</v>
      </c>
      <c r="F10" s="83" t="s">
        <v>1073</v>
      </c>
      <c r="G10" s="84">
        <v>51.13</v>
      </c>
      <c r="H10" s="85">
        <v>5</v>
      </c>
      <c r="I10" s="76">
        <v>64.5</v>
      </c>
      <c r="J10" s="85">
        <v>492</v>
      </c>
      <c r="K10" s="84">
        <v>25155.96</v>
      </c>
      <c r="L10" s="86">
        <v>45936</v>
      </c>
      <c r="M10" s="85" t="str">
        <f t="shared" si="0"/>
        <v>At Risk</v>
      </c>
      <c r="N10" s="85" t="str">
        <f t="shared" si="1"/>
        <v>Medium</v>
      </c>
    </row>
    <row r="11" spans="1:14" ht="16.5" x14ac:dyDescent="0.2">
      <c r="A11" s="126" t="s">
        <v>49</v>
      </c>
      <c r="B11" s="78" t="s">
        <v>50</v>
      </c>
      <c r="C11" s="78" t="s">
        <v>39</v>
      </c>
      <c r="D11" s="78" t="s">
        <v>34</v>
      </c>
      <c r="E11" s="78" t="s">
        <v>51</v>
      </c>
      <c r="F11" s="78" t="s">
        <v>42</v>
      </c>
      <c r="G11" s="79">
        <v>971.5</v>
      </c>
      <c r="H11" s="80">
        <v>9</v>
      </c>
      <c r="I11" s="81">
        <v>66.099999999999994</v>
      </c>
      <c r="J11" s="80">
        <v>297</v>
      </c>
      <c r="K11" s="79">
        <v>288535.5</v>
      </c>
      <c r="L11" s="82">
        <v>45830</v>
      </c>
      <c r="M11" s="80" t="str">
        <f t="shared" si="0"/>
        <v>At Risk</v>
      </c>
      <c r="N11" s="80" t="str">
        <f t="shared" si="1"/>
        <v>High</v>
      </c>
    </row>
    <row r="12" spans="1:14" ht="16.5" x14ac:dyDescent="0.2">
      <c r="A12" s="72" t="s">
        <v>52</v>
      </c>
      <c r="B12" s="83" t="s">
        <v>53</v>
      </c>
      <c r="C12" s="83" t="s">
        <v>25</v>
      </c>
      <c r="D12" s="83" t="s">
        <v>40</v>
      </c>
      <c r="E12" s="83" t="s">
        <v>22</v>
      </c>
      <c r="F12" s="83" t="s">
        <v>27</v>
      </c>
      <c r="G12" s="84">
        <v>79.790000000000006</v>
      </c>
      <c r="H12" s="85">
        <v>9</v>
      </c>
      <c r="I12" s="76">
        <v>77.900000000000006</v>
      </c>
      <c r="J12" s="85">
        <v>56</v>
      </c>
      <c r="K12" s="84">
        <v>4468.24</v>
      </c>
      <c r="L12" s="86">
        <v>45388</v>
      </c>
      <c r="M12" s="85" t="str">
        <f t="shared" si="0"/>
        <v>At Risk</v>
      </c>
      <c r="N12" s="85" t="str">
        <f t="shared" si="1"/>
        <v>Medium</v>
      </c>
    </row>
    <row r="13" spans="1:14" ht="16.5" x14ac:dyDescent="0.2">
      <c r="A13" s="126" t="s">
        <v>54</v>
      </c>
      <c r="B13" s="78" t="s">
        <v>55</v>
      </c>
      <c r="C13" s="78" t="s">
        <v>48</v>
      </c>
      <c r="D13" s="78" t="s">
        <v>34</v>
      </c>
      <c r="E13" s="78" t="s">
        <v>31</v>
      </c>
      <c r="F13" s="78" t="s">
        <v>1073</v>
      </c>
      <c r="G13" s="79">
        <v>73.59</v>
      </c>
      <c r="H13" s="80">
        <v>25</v>
      </c>
      <c r="I13" s="81">
        <v>72.2</v>
      </c>
      <c r="J13" s="80">
        <v>249</v>
      </c>
      <c r="K13" s="79">
        <v>18323.91</v>
      </c>
      <c r="L13" s="82">
        <v>46375</v>
      </c>
      <c r="M13" s="80" t="str">
        <f t="shared" si="0"/>
        <v>At Risk</v>
      </c>
      <c r="N13" s="80" t="str">
        <f t="shared" si="1"/>
        <v>Medium</v>
      </c>
    </row>
    <row r="14" spans="1:14" ht="16.5" x14ac:dyDescent="0.2">
      <c r="A14" s="72" t="s">
        <v>56</v>
      </c>
      <c r="B14" s="83" t="s">
        <v>57</v>
      </c>
      <c r="C14" s="83" t="s">
        <v>16</v>
      </c>
      <c r="D14" s="83" t="s">
        <v>40</v>
      </c>
      <c r="E14" s="83" t="s">
        <v>58</v>
      </c>
      <c r="F14" s="83" t="s">
        <v>19</v>
      </c>
      <c r="G14" s="84">
        <v>561.28</v>
      </c>
      <c r="H14" s="85">
        <v>35</v>
      </c>
      <c r="I14" s="76">
        <v>88.8</v>
      </c>
      <c r="J14" s="85">
        <v>403</v>
      </c>
      <c r="K14" s="84">
        <v>226195.84</v>
      </c>
      <c r="L14" s="86">
        <v>45988</v>
      </c>
      <c r="M14" s="85" t="str">
        <f t="shared" si="0"/>
        <v>Monitor</v>
      </c>
      <c r="N14" s="85" t="str">
        <f t="shared" si="1"/>
        <v>High</v>
      </c>
    </row>
    <row r="15" spans="1:14" ht="16.5" x14ac:dyDescent="0.2">
      <c r="A15" s="126" t="s">
        <v>59</v>
      </c>
      <c r="B15" s="78" t="s">
        <v>60</v>
      </c>
      <c r="C15" s="78" t="s">
        <v>39</v>
      </c>
      <c r="D15" s="78" t="s">
        <v>17</v>
      </c>
      <c r="E15" s="78" t="s">
        <v>26</v>
      </c>
      <c r="F15" s="78" t="s">
        <v>42</v>
      </c>
      <c r="G15" s="79">
        <v>4782.93</v>
      </c>
      <c r="H15" s="80">
        <v>57</v>
      </c>
      <c r="I15" s="81">
        <v>87.4</v>
      </c>
      <c r="J15" s="80">
        <v>266</v>
      </c>
      <c r="K15" s="79">
        <v>1272259.3799999999</v>
      </c>
      <c r="L15" s="82">
        <v>45657</v>
      </c>
      <c r="M15" s="80" t="str">
        <f t="shared" si="0"/>
        <v>Monitor</v>
      </c>
      <c r="N15" s="80" t="str">
        <f>IF(G15&lt;50,"Low",IF(G15&lt;250,"Medium",IF(G15&lt;1000,"High","Premium")))</f>
        <v>Premium</v>
      </c>
    </row>
    <row r="16" spans="1:14" ht="16.5" x14ac:dyDescent="0.2">
      <c r="A16" s="72" t="s">
        <v>61</v>
      </c>
      <c r="B16" s="83" t="s">
        <v>62</v>
      </c>
      <c r="C16" s="83" t="s">
        <v>30</v>
      </c>
      <c r="D16" s="83" t="s">
        <v>34</v>
      </c>
      <c r="E16" s="83" t="s">
        <v>22</v>
      </c>
      <c r="F16" s="83" t="s">
        <v>1072</v>
      </c>
      <c r="G16" s="84">
        <v>475.11</v>
      </c>
      <c r="H16" s="85">
        <v>49</v>
      </c>
      <c r="I16" s="76">
        <v>62.3</v>
      </c>
      <c r="J16" s="85">
        <v>498</v>
      </c>
      <c r="K16" s="84">
        <v>236604.78</v>
      </c>
      <c r="L16" s="86">
        <v>46378</v>
      </c>
      <c r="M16" s="85" t="str">
        <f t="shared" si="0"/>
        <v>At Risk</v>
      </c>
      <c r="N16" s="85" t="str">
        <f t="shared" si="1"/>
        <v>High</v>
      </c>
    </row>
    <row r="17" spans="1:14" ht="16.5" x14ac:dyDescent="0.2">
      <c r="A17" s="126" t="s">
        <v>63</v>
      </c>
      <c r="B17" s="78" t="s">
        <v>64</v>
      </c>
      <c r="C17" s="78" t="s">
        <v>30</v>
      </c>
      <c r="D17" s="78" t="s">
        <v>40</v>
      </c>
      <c r="E17" s="78" t="s">
        <v>58</v>
      </c>
      <c r="F17" s="78" t="s">
        <v>1072</v>
      </c>
      <c r="G17" s="79">
        <v>1872.38</v>
      </c>
      <c r="H17" s="80">
        <v>57</v>
      </c>
      <c r="I17" s="81">
        <v>99.3</v>
      </c>
      <c r="J17" s="80">
        <v>423</v>
      </c>
      <c r="K17" s="79">
        <v>792016.74</v>
      </c>
      <c r="L17" s="82">
        <v>45921</v>
      </c>
      <c r="M17" s="80" t="str">
        <f t="shared" si="0"/>
        <v>OK</v>
      </c>
      <c r="N17" s="80" t="str">
        <f t="shared" si="1"/>
        <v>Premium</v>
      </c>
    </row>
    <row r="18" spans="1:14" ht="16.5" x14ac:dyDescent="0.2">
      <c r="A18" s="72" t="s">
        <v>65</v>
      </c>
      <c r="B18" s="83" t="s">
        <v>66</v>
      </c>
      <c r="C18" s="83" t="s">
        <v>48</v>
      </c>
      <c r="D18" s="83" t="s">
        <v>34</v>
      </c>
      <c r="E18" s="83" t="s">
        <v>58</v>
      </c>
      <c r="F18" s="83" t="s">
        <v>1073</v>
      </c>
      <c r="G18" s="84">
        <v>14.85</v>
      </c>
      <c r="H18" s="85">
        <v>32</v>
      </c>
      <c r="I18" s="76">
        <v>91.7</v>
      </c>
      <c r="J18" s="85">
        <v>399</v>
      </c>
      <c r="K18" s="84">
        <v>5925.15</v>
      </c>
      <c r="L18" s="86">
        <v>46382</v>
      </c>
      <c r="M18" s="85" t="str">
        <f t="shared" si="0"/>
        <v>Monitor</v>
      </c>
      <c r="N18" s="85" t="str">
        <f t="shared" si="1"/>
        <v>Low</v>
      </c>
    </row>
    <row r="19" spans="1:14" ht="16.5" x14ac:dyDescent="0.2">
      <c r="A19" s="126" t="s">
        <v>67</v>
      </c>
      <c r="B19" s="78" t="s">
        <v>68</v>
      </c>
      <c r="C19" s="78" t="s">
        <v>39</v>
      </c>
      <c r="D19" s="78" t="s">
        <v>34</v>
      </c>
      <c r="E19" s="78" t="s">
        <v>45</v>
      </c>
      <c r="F19" s="78" t="s">
        <v>42</v>
      </c>
      <c r="G19" s="79">
        <v>1545.77</v>
      </c>
      <c r="H19" s="80">
        <v>56</v>
      </c>
      <c r="I19" s="81">
        <v>82.3</v>
      </c>
      <c r="J19" s="80">
        <v>118</v>
      </c>
      <c r="K19" s="79">
        <v>182400.86</v>
      </c>
      <c r="L19" s="82">
        <v>45703</v>
      </c>
      <c r="M19" s="80" t="str">
        <f t="shared" si="0"/>
        <v>At Risk</v>
      </c>
      <c r="N19" s="80" t="str">
        <f t="shared" si="1"/>
        <v>Premium</v>
      </c>
    </row>
    <row r="20" spans="1:14" ht="16.5" x14ac:dyDescent="0.2">
      <c r="A20" s="72" t="s">
        <v>69</v>
      </c>
      <c r="B20" s="83" t="s">
        <v>70</v>
      </c>
      <c r="C20" s="83" t="s">
        <v>30</v>
      </c>
      <c r="D20" s="83" t="s">
        <v>40</v>
      </c>
      <c r="E20" s="83" t="s">
        <v>51</v>
      </c>
      <c r="F20" s="83" t="s">
        <v>1072</v>
      </c>
      <c r="G20" s="84">
        <v>417.81</v>
      </c>
      <c r="H20" s="85">
        <v>15</v>
      </c>
      <c r="I20" s="76">
        <v>57.9</v>
      </c>
      <c r="J20" s="85">
        <v>20</v>
      </c>
      <c r="K20" s="84">
        <v>8356.2000000000007</v>
      </c>
      <c r="L20" s="86">
        <v>45763</v>
      </c>
      <c r="M20" s="85" t="str">
        <f t="shared" si="0"/>
        <v>At Risk</v>
      </c>
      <c r="N20" s="85" t="str">
        <f t="shared" si="1"/>
        <v>High</v>
      </c>
    </row>
    <row r="21" spans="1:14" ht="16.5" x14ac:dyDescent="0.2">
      <c r="A21" s="126" t="s">
        <v>71</v>
      </c>
      <c r="B21" s="78" t="s">
        <v>72</v>
      </c>
      <c r="C21" s="78" t="s">
        <v>16</v>
      </c>
      <c r="D21" s="78" t="s">
        <v>17</v>
      </c>
      <c r="E21" s="78" t="s">
        <v>26</v>
      </c>
      <c r="F21" s="78" t="s">
        <v>19</v>
      </c>
      <c r="G21" s="79">
        <v>221.71</v>
      </c>
      <c r="H21" s="80">
        <v>58</v>
      </c>
      <c r="I21" s="81">
        <v>56.4</v>
      </c>
      <c r="J21" s="80">
        <v>179</v>
      </c>
      <c r="K21" s="79">
        <v>39686.089999999997</v>
      </c>
      <c r="L21" s="82">
        <v>45437</v>
      </c>
      <c r="M21" s="80" t="str">
        <f t="shared" si="0"/>
        <v>At Risk</v>
      </c>
      <c r="N21" s="80" t="str">
        <f t="shared" si="1"/>
        <v>Medium</v>
      </c>
    </row>
    <row r="22" spans="1:14" ht="16.5" x14ac:dyDescent="0.2">
      <c r="A22" s="72" t="s">
        <v>73</v>
      </c>
      <c r="B22" s="83" t="s">
        <v>74</v>
      </c>
      <c r="C22" s="83" t="s">
        <v>30</v>
      </c>
      <c r="D22" s="83" t="s">
        <v>40</v>
      </c>
      <c r="E22" s="83" t="s">
        <v>22</v>
      </c>
      <c r="F22" s="83" t="s">
        <v>1072</v>
      </c>
      <c r="G22" s="84">
        <v>1170.6199999999999</v>
      </c>
      <c r="H22" s="85">
        <v>47</v>
      </c>
      <c r="I22" s="76">
        <v>97.1</v>
      </c>
      <c r="J22" s="85">
        <v>302</v>
      </c>
      <c r="K22" s="84">
        <v>353527.24</v>
      </c>
      <c r="L22" s="86">
        <v>46260</v>
      </c>
      <c r="M22" s="85" t="str">
        <f t="shared" si="0"/>
        <v>OK</v>
      </c>
      <c r="N22" s="85" t="str">
        <f t="shared" si="1"/>
        <v>Premium</v>
      </c>
    </row>
    <row r="23" spans="1:14" ht="16.5" x14ac:dyDescent="0.2">
      <c r="A23" s="126" t="s">
        <v>75</v>
      </c>
      <c r="B23" s="78" t="s">
        <v>76</v>
      </c>
      <c r="C23" s="78" t="s">
        <v>39</v>
      </c>
      <c r="D23" s="78" t="s">
        <v>17</v>
      </c>
      <c r="E23" s="78" t="s">
        <v>58</v>
      </c>
      <c r="F23" s="78" t="s">
        <v>42</v>
      </c>
      <c r="G23" s="79">
        <v>3397.22</v>
      </c>
      <c r="H23" s="80">
        <v>23</v>
      </c>
      <c r="I23" s="81">
        <v>74.099999999999994</v>
      </c>
      <c r="J23" s="80">
        <v>249</v>
      </c>
      <c r="K23" s="79">
        <v>845907.78</v>
      </c>
      <c r="L23" s="82">
        <v>45402</v>
      </c>
      <c r="M23" s="80" t="str">
        <f t="shared" si="0"/>
        <v>At Risk</v>
      </c>
      <c r="N23" s="80" t="str">
        <f t="shared" si="1"/>
        <v>Premium</v>
      </c>
    </row>
    <row r="24" spans="1:14" ht="16.5" x14ac:dyDescent="0.2">
      <c r="A24" s="72" t="s">
        <v>77</v>
      </c>
      <c r="B24" s="83" t="s">
        <v>78</v>
      </c>
      <c r="C24" s="83" t="s">
        <v>39</v>
      </c>
      <c r="D24" s="83" t="s">
        <v>40</v>
      </c>
      <c r="E24" s="83" t="s">
        <v>58</v>
      </c>
      <c r="F24" s="83" t="s">
        <v>42</v>
      </c>
      <c r="G24" s="84">
        <v>1468.68</v>
      </c>
      <c r="H24" s="85">
        <v>13</v>
      </c>
      <c r="I24" s="76">
        <v>79.099999999999994</v>
      </c>
      <c r="J24" s="85">
        <v>81</v>
      </c>
      <c r="K24" s="84">
        <v>118963.08</v>
      </c>
      <c r="L24" s="86">
        <v>46156</v>
      </c>
      <c r="M24" s="85" t="str">
        <f t="shared" si="0"/>
        <v>At Risk</v>
      </c>
      <c r="N24" s="85" t="str">
        <f t="shared" si="1"/>
        <v>Premium</v>
      </c>
    </row>
    <row r="25" spans="1:14" ht="16.5" x14ac:dyDescent="0.2">
      <c r="A25" s="126" t="s">
        <v>79</v>
      </c>
      <c r="B25" s="78" t="s">
        <v>80</v>
      </c>
      <c r="C25" s="78" t="s">
        <v>39</v>
      </c>
      <c r="D25" s="78" t="s">
        <v>17</v>
      </c>
      <c r="E25" s="78" t="s">
        <v>58</v>
      </c>
      <c r="F25" s="78" t="s">
        <v>42</v>
      </c>
      <c r="G25" s="79">
        <v>2382.71</v>
      </c>
      <c r="H25" s="80">
        <v>56</v>
      </c>
      <c r="I25" s="81">
        <v>93.5</v>
      </c>
      <c r="J25" s="80">
        <v>60</v>
      </c>
      <c r="K25" s="79">
        <v>142962.6</v>
      </c>
      <c r="L25" s="82">
        <v>45395</v>
      </c>
      <c r="M25" s="80" t="str">
        <f t="shared" si="0"/>
        <v>OK</v>
      </c>
      <c r="N25" s="80" t="str">
        <f t="shared" si="1"/>
        <v>Premium</v>
      </c>
    </row>
    <row r="26" spans="1:14" ht="16.5" x14ac:dyDescent="0.2">
      <c r="A26" s="72" t="s">
        <v>81</v>
      </c>
      <c r="B26" s="83" t="s">
        <v>82</v>
      </c>
      <c r="C26" s="83" t="s">
        <v>16</v>
      </c>
      <c r="D26" s="83" t="s">
        <v>34</v>
      </c>
      <c r="E26" s="83" t="s">
        <v>22</v>
      </c>
      <c r="F26" s="83" t="s">
        <v>19</v>
      </c>
      <c r="G26" s="84">
        <v>174.73</v>
      </c>
      <c r="H26" s="85">
        <v>32</v>
      </c>
      <c r="I26" s="76">
        <v>76.7</v>
      </c>
      <c r="J26" s="85">
        <v>452</v>
      </c>
      <c r="K26" s="84">
        <v>78977.960000000006</v>
      </c>
      <c r="L26" s="86">
        <v>46113</v>
      </c>
      <c r="M26" s="85" t="str">
        <f t="shared" si="0"/>
        <v>At Risk</v>
      </c>
      <c r="N26" s="85" t="str">
        <f t="shared" si="1"/>
        <v>Medium</v>
      </c>
    </row>
    <row r="27" spans="1:14" ht="16.5" x14ac:dyDescent="0.2">
      <c r="A27" s="126" t="s">
        <v>83</v>
      </c>
      <c r="B27" s="78" t="s">
        <v>84</v>
      </c>
      <c r="C27" s="78" t="s">
        <v>39</v>
      </c>
      <c r="D27" s="78" t="s">
        <v>17</v>
      </c>
      <c r="E27" s="78" t="s">
        <v>31</v>
      </c>
      <c r="F27" s="78" t="s">
        <v>42</v>
      </c>
      <c r="G27" s="79">
        <v>1546.45</v>
      </c>
      <c r="H27" s="80">
        <v>51</v>
      </c>
      <c r="I27" s="81">
        <v>90.3</v>
      </c>
      <c r="J27" s="80">
        <v>156</v>
      </c>
      <c r="K27" s="79">
        <v>241246.2</v>
      </c>
      <c r="L27" s="82">
        <v>46158</v>
      </c>
      <c r="M27" s="80" t="str">
        <f t="shared" si="0"/>
        <v>Monitor</v>
      </c>
      <c r="N27" s="80" t="str">
        <f t="shared" si="1"/>
        <v>Premium</v>
      </c>
    </row>
    <row r="28" spans="1:14" ht="16.5" x14ac:dyDescent="0.2">
      <c r="A28" s="72" t="s">
        <v>85</v>
      </c>
      <c r="B28" s="83" t="s">
        <v>86</v>
      </c>
      <c r="C28" s="83" t="s">
        <v>48</v>
      </c>
      <c r="D28" s="83" t="s">
        <v>17</v>
      </c>
      <c r="E28" s="83" t="s">
        <v>22</v>
      </c>
      <c r="F28" s="83" t="s">
        <v>1073</v>
      </c>
      <c r="G28" s="84">
        <v>116.4</v>
      </c>
      <c r="H28" s="85">
        <v>38</v>
      </c>
      <c r="I28" s="76">
        <v>88.1</v>
      </c>
      <c r="J28" s="85">
        <v>41</v>
      </c>
      <c r="K28" s="84">
        <v>4772.3999999999996</v>
      </c>
      <c r="L28" s="86">
        <v>45934</v>
      </c>
      <c r="M28" s="85" t="str">
        <f t="shared" si="0"/>
        <v>Monitor</v>
      </c>
      <c r="N28" s="85" t="str">
        <f t="shared" si="1"/>
        <v>Medium</v>
      </c>
    </row>
    <row r="29" spans="1:14" ht="16.5" x14ac:dyDescent="0.2">
      <c r="A29" s="126" t="s">
        <v>87</v>
      </c>
      <c r="B29" s="78" t="s">
        <v>88</v>
      </c>
      <c r="C29" s="78" t="s">
        <v>25</v>
      </c>
      <c r="D29" s="78" t="s">
        <v>40</v>
      </c>
      <c r="E29" s="78" t="s">
        <v>45</v>
      </c>
      <c r="F29" s="78" t="s">
        <v>27</v>
      </c>
      <c r="G29" s="79">
        <v>6.44</v>
      </c>
      <c r="H29" s="80">
        <v>33</v>
      </c>
      <c r="I29" s="81">
        <v>58.6</v>
      </c>
      <c r="J29" s="80">
        <v>105</v>
      </c>
      <c r="K29" s="79">
        <v>676.2</v>
      </c>
      <c r="L29" s="82">
        <v>45432</v>
      </c>
      <c r="M29" s="80" t="str">
        <f t="shared" si="0"/>
        <v>At Risk</v>
      </c>
      <c r="N29" s="80" t="str">
        <f t="shared" si="1"/>
        <v>Low</v>
      </c>
    </row>
    <row r="30" spans="1:14" ht="16.5" x14ac:dyDescent="0.2">
      <c r="A30" s="72" t="s">
        <v>89</v>
      </c>
      <c r="B30" s="83" t="s">
        <v>90</v>
      </c>
      <c r="C30" s="83" t="s">
        <v>48</v>
      </c>
      <c r="D30" s="83" t="s">
        <v>40</v>
      </c>
      <c r="E30" s="83" t="s">
        <v>22</v>
      </c>
      <c r="F30" s="83" t="s">
        <v>1073</v>
      </c>
      <c r="G30" s="84">
        <v>71.58</v>
      </c>
      <c r="H30" s="85">
        <v>3</v>
      </c>
      <c r="I30" s="76">
        <v>82.9</v>
      </c>
      <c r="J30" s="85">
        <v>224</v>
      </c>
      <c r="K30" s="84">
        <v>16033.92</v>
      </c>
      <c r="L30" s="86">
        <v>46362</v>
      </c>
      <c r="M30" s="85" t="str">
        <f t="shared" si="0"/>
        <v>At Risk</v>
      </c>
      <c r="N30" s="85" t="str">
        <f t="shared" si="1"/>
        <v>Medium</v>
      </c>
    </row>
    <row r="31" spans="1:14" ht="16.5" x14ac:dyDescent="0.2">
      <c r="A31" s="126" t="s">
        <v>91</v>
      </c>
      <c r="B31" s="78" t="s">
        <v>92</v>
      </c>
      <c r="C31" s="78" t="s">
        <v>48</v>
      </c>
      <c r="D31" s="78" t="s">
        <v>40</v>
      </c>
      <c r="E31" s="78" t="s">
        <v>41</v>
      </c>
      <c r="F31" s="78" t="s">
        <v>1073</v>
      </c>
      <c r="G31" s="79">
        <v>32.450000000000003</v>
      </c>
      <c r="H31" s="80">
        <v>26</v>
      </c>
      <c r="I31" s="81">
        <v>60.9</v>
      </c>
      <c r="J31" s="80">
        <v>340</v>
      </c>
      <c r="K31" s="79">
        <v>11033</v>
      </c>
      <c r="L31" s="82">
        <v>45906</v>
      </c>
      <c r="M31" s="80" t="str">
        <f t="shared" si="0"/>
        <v>At Risk</v>
      </c>
      <c r="N31" s="80" t="str">
        <f t="shared" si="1"/>
        <v>Low</v>
      </c>
    </row>
    <row r="32" spans="1:14" ht="16.5" x14ac:dyDescent="0.2">
      <c r="A32" s="72" t="s">
        <v>93</v>
      </c>
      <c r="B32" s="83" t="s">
        <v>94</v>
      </c>
      <c r="C32" s="83" t="s">
        <v>16</v>
      </c>
      <c r="D32" s="83" t="s">
        <v>17</v>
      </c>
      <c r="E32" s="83" t="s">
        <v>58</v>
      </c>
      <c r="F32" s="83" t="s">
        <v>19</v>
      </c>
      <c r="G32" s="84">
        <v>104.95</v>
      </c>
      <c r="H32" s="85">
        <v>14</v>
      </c>
      <c r="I32" s="76">
        <v>77.8</v>
      </c>
      <c r="J32" s="85">
        <v>77</v>
      </c>
      <c r="K32" s="84">
        <v>8081.15</v>
      </c>
      <c r="L32" s="86">
        <v>46006</v>
      </c>
      <c r="M32" s="85" t="str">
        <f t="shared" si="0"/>
        <v>At Risk</v>
      </c>
      <c r="N32" s="85" t="str">
        <f t="shared" si="1"/>
        <v>Medium</v>
      </c>
    </row>
    <row r="33" spans="1:14" ht="16.5" x14ac:dyDescent="0.2">
      <c r="A33" s="126" t="s">
        <v>95</v>
      </c>
      <c r="B33" s="78" t="s">
        <v>96</v>
      </c>
      <c r="C33" s="78" t="s">
        <v>30</v>
      </c>
      <c r="D33" s="78" t="s">
        <v>17</v>
      </c>
      <c r="E33" s="78" t="s">
        <v>51</v>
      </c>
      <c r="F33" s="78" t="s">
        <v>1072</v>
      </c>
      <c r="G33" s="79">
        <v>1700.74</v>
      </c>
      <c r="H33" s="80">
        <v>46</v>
      </c>
      <c r="I33" s="81">
        <v>68.599999999999994</v>
      </c>
      <c r="J33" s="80">
        <v>423</v>
      </c>
      <c r="K33" s="79">
        <v>719413.02</v>
      </c>
      <c r="L33" s="82">
        <v>46375</v>
      </c>
      <c r="M33" s="80" t="str">
        <f t="shared" si="0"/>
        <v>At Risk</v>
      </c>
      <c r="N33" s="80" t="str">
        <f t="shared" si="1"/>
        <v>Premium</v>
      </c>
    </row>
    <row r="34" spans="1:14" ht="16.5" x14ac:dyDescent="0.2">
      <c r="A34" s="72" t="s">
        <v>97</v>
      </c>
      <c r="B34" s="83" t="s">
        <v>98</v>
      </c>
      <c r="C34" s="83" t="s">
        <v>30</v>
      </c>
      <c r="D34" s="83" t="s">
        <v>34</v>
      </c>
      <c r="E34" s="83" t="s">
        <v>58</v>
      </c>
      <c r="F34" s="83" t="s">
        <v>1072</v>
      </c>
      <c r="G34" s="84">
        <v>1890.07</v>
      </c>
      <c r="H34" s="85">
        <v>9</v>
      </c>
      <c r="I34" s="76">
        <v>66.900000000000006</v>
      </c>
      <c r="J34" s="85">
        <v>465</v>
      </c>
      <c r="K34" s="84">
        <v>878882.55</v>
      </c>
      <c r="L34" s="86">
        <v>45511</v>
      </c>
      <c r="M34" s="85" t="str">
        <f t="shared" si="0"/>
        <v>At Risk</v>
      </c>
      <c r="N34" s="85" t="str">
        <f t="shared" si="1"/>
        <v>Premium</v>
      </c>
    </row>
    <row r="35" spans="1:14" ht="16.5" x14ac:dyDescent="0.2">
      <c r="A35" s="126" t="s">
        <v>99</v>
      </c>
      <c r="B35" s="78" t="s">
        <v>100</v>
      </c>
      <c r="C35" s="78" t="s">
        <v>30</v>
      </c>
      <c r="D35" s="78" t="s">
        <v>17</v>
      </c>
      <c r="E35" s="78" t="s">
        <v>22</v>
      </c>
      <c r="F35" s="78" t="s">
        <v>1072</v>
      </c>
      <c r="G35" s="79">
        <v>1491.7</v>
      </c>
      <c r="H35" s="80">
        <v>14</v>
      </c>
      <c r="I35" s="81">
        <v>85.9</v>
      </c>
      <c r="J35" s="80">
        <v>446</v>
      </c>
      <c r="K35" s="79">
        <v>665298.19999999995</v>
      </c>
      <c r="L35" s="82">
        <v>45832</v>
      </c>
      <c r="M35" s="80" t="str">
        <f t="shared" si="0"/>
        <v>Monitor</v>
      </c>
      <c r="N35" s="80" t="str">
        <f t="shared" si="1"/>
        <v>Premium</v>
      </c>
    </row>
    <row r="36" spans="1:14" ht="16.5" x14ac:dyDescent="0.2">
      <c r="A36" s="72" t="s">
        <v>101</v>
      </c>
      <c r="B36" s="83" t="s">
        <v>102</v>
      </c>
      <c r="C36" s="83" t="s">
        <v>30</v>
      </c>
      <c r="D36" s="83" t="s">
        <v>34</v>
      </c>
      <c r="E36" s="83" t="s">
        <v>26</v>
      </c>
      <c r="F36" s="83" t="s">
        <v>1072</v>
      </c>
      <c r="G36" s="84">
        <v>366.14</v>
      </c>
      <c r="H36" s="85">
        <v>28</v>
      </c>
      <c r="I36" s="76">
        <v>92.3</v>
      </c>
      <c r="J36" s="85">
        <v>32</v>
      </c>
      <c r="K36" s="84">
        <v>11716.48</v>
      </c>
      <c r="L36" s="86">
        <v>45299</v>
      </c>
      <c r="M36" s="85" t="str">
        <f t="shared" si="0"/>
        <v>OK</v>
      </c>
      <c r="N36" s="85" t="str">
        <f t="shared" si="1"/>
        <v>High</v>
      </c>
    </row>
    <row r="37" spans="1:14" ht="16.5" x14ac:dyDescent="0.2">
      <c r="A37" s="126" t="s">
        <v>103</v>
      </c>
      <c r="B37" s="78" t="s">
        <v>104</v>
      </c>
      <c r="C37" s="78" t="s">
        <v>30</v>
      </c>
      <c r="D37" s="78" t="s">
        <v>17</v>
      </c>
      <c r="E37" s="78" t="s">
        <v>51</v>
      </c>
      <c r="F37" s="78" t="s">
        <v>1072</v>
      </c>
      <c r="G37" s="79">
        <v>1193.02</v>
      </c>
      <c r="H37" s="80">
        <v>28</v>
      </c>
      <c r="I37" s="81">
        <v>80.2</v>
      </c>
      <c r="J37" s="80">
        <v>67</v>
      </c>
      <c r="K37" s="79">
        <v>79932.34</v>
      </c>
      <c r="L37" s="82">
        <v>45446</v>
      </c>
      <c r="M37" s="80" t="str">
        <f t="shared" si="0"/>
        <v>At Risk</v>
      </c>
      <c r="N37" s="80" t="str">
        <f t="shared" si="1"/>
        <v>Premium</v>
      </c>
    </row>
    <row r="38" spans="1:14" ht="16.5" x14ac:dyDescent="0.2">
      <c r="A38" s="72" t="s">
        <v>105</v>
      </c>
      <c r="B38" s="83" t="s">
        <v>106</v>
      </c>
      <c r="C38" s="83" t="s">
        <v>16</v>
      </c>
      <c r="D38" s="83" t="s">
        <v>34</v>
      </c>
      <c r="E38" s="83" t="s">
        <v>45</v>
      </c>
      <c r="F38" s="83" t="s">
        <v>19</v>
      </c>
      <c r="G38" s="84">
        <v>372.34</v>
      </c>
      <c r="H38" s="85">
        <v>3</v>
      </c>
      <c r="I38" s="76">
        <v>68.900000000000006</v>
      </c>
      <c r="J38" s="85">
        <v>470</v>
      </c>
      <c r="K38" s="84">
        <v>174999.8</v>
      </c>
      <c r="L38" s="86">
        <v>45373</v>
      </c>
      <c r="M38" s="85" t="str">
        <f t="shared" si="0"/>
        <v>At Risk</v>
      </c>
      <c r="N38" s="85" t="str">
        <f t="shared" si="1"/>
        <v>High</v>
      </c>
    </row>
    <row r="39" spans="1:14" ht="16.5" x14ac:dyDescent="0.2">
      <c r="A39" s="126" t="s">
        <v>107</v>
      </c>
      <c r="B39" s="78" t="s">
        <v>108</v>
      </c>
      <c r="C39" s="78" t="s">
        <v>48</v>
      </c>
      <c r="D39" s="78" t="s">
        <v>40</v>
      </c>
      <c r="E39" s="78" t="s">
        <v>41</v>
      </c>
      <c r="F39" s="78" t="s">
        <v>1073</v>
      </c>
      <c r="G39" s="79">
        <v>94.71</v>
      </c>
      <c r="H39" s="80">
        <v>57</v>
      </c>
      <c r="I39" s="81">
        <v>94.4</v>
      </c>
      <c r="J39" s="80">
        <v>327</v>
      </c>
      <c r="K39" s="79">
        <v>30970.17</v>
      </c>
      <c r="L39" s="82">
        <v>45608</v>
      </c>
      <c r="M39" s="80" t="str">
        <f t="shared" si="0"/>
        <v>OK</v>
      </c>
      <c r="N39" s="80" t="str">
        <f t="shared" si="1"/>
        <v>Medium</v>
      </c>
    </row>
    <row r="40" spans="1:14" ht="16.5" x14ac:dyDescent="0.2">
      <c r="A40" s="72" t="s">
        <v>109</v>
      </c>
      <c r="B40" s="83" t="s">
        <v>110</v>
      </c>
      <c r="C40" s="83" t="s">
        <v>48</v>
      </c>
      <c r="D40" s="83" t="s">
        <v>34</v>
      </c>
      <c r="E40" s="83" t="s">
        <v>26</v>
      </c>
      <c r="F40" s="83" t="s">
        <v>1073</v>
      </c>
      <c r="G40" s="84">
        <v>25.63</v>
      </c>
      <c r="H40" s="85">
        <v>60</v>
      </c>
      <c r="I40" s="76">
        <v>69.900000000000006</v>
      </c>
      <c r="J40" s="85">
        <v>486</v>
      </c>
      <c r="K40" s="84">
        <v>12456.18</v>
      </c>
      <c r="L40" s="86">
        <v>46135</v>
      </c>
      <c r="M40" s="85" t="str">
        <f t="shared" si="0"/>
        <v>At Risk</v>
      </c>
      <c r="N40" s="85" t="str">
        <f t="shared" si="1"/>
        <v>Low</v>
      </c>
    </row>
    <row r="41" spans="1:14" ht="16.5" x14ac:dyDescent="0.2">
      <c r="A41" s="126" t="s">
        <v>111</v>
      </c>
      <c r="B41" s="78" t="s">
        <v>112</v>
      </c>
      <c r="C41" s="78" t="s">
        <v>48</v>
      </c>
      <c r="D41" s="78" t="s">
        <v>34</v>
      </c>
      <c r="E41" s="78" t="s">
        <v>58</v>
      </c>
      <c r="F41" s="78" t="s">
        <v>1073</v>
      </c>
      <c r="G41" s="79">
        <v>48.99</v>
      </c>
      <c r="H41" s="80">
        <v>3</v>
      </c>
      <c r="I41" s="81">
        <v>93.6</v>
      </c>
      <c r="J41" s="80">
        <v>123</v>
      </c>
      <c r="K41" s="79">
        <v>6025.77</v>
      </c>
      <c r="L41" s="82">
        <v>45700</v>
      </c>
      <c r="M41" s="80" t="str">
        <f t="shared" si="0"/>
        <v>OK</v>
      </c>
      <c r="N41" s="80" t="str">
        <f t="shared" si="1"/>
        <v>Low</v>
      </c>
    </row>
    <row r="42" spans="1:14" ht="16.5" x14ac:dyDescent="0.2">
      <c r="A42" s="72" t="s">
        <v>113</v>
      </c>
      <c r="B42" s="83" t="s">
        <v>114</v>
      </c>
      <c r="C42" s="83" t="s">
        <v>30</v>
      </c>
      <c r="D42" s="83" t="s">
        <v>34</v>
      </c>
      <c r="E42" s="83" t="s">
        <v>22</v>
      </c>
      <c r="F42" s="83" t="s">
        <v>1072</v>
      </c>
      <c r="G42" s="84">
        <v>601.26</v>
      </c>
      <c r="H42" s="85">
        <v>43</v>
      </c>
      <c r="I42" s="76">
        <v>63.7</v>
      </c>
      <c r="J42" s="85">
        <v>178</v>
      </c>
      <c r="K42" s="84">
        <v>107024.28</v>
      </c>
      <c r="L42" s="86">
        <v>45862</v>
      </c>
      <c r="M42" s="85" t="str">
        <f t="shared" si="0"/>
        <v>At Risk</v>
      </c>
      <c r="N42" s="85" t="str">
        <f t="shared" si="1"/>
        <v>High</v>
      </c>
    </row>
    <row r="43" spans="1:14" ht="16.5" x14ac:dyDescent="0.2">
      <c r="A43" s="126" t="s">
        <v>115</v>
      </c>
      <c r="B43" s="78" t="s">
        <v>116</v>
      </c>
      <c r="C43" s="78" t="s">
        <v>30</v>
      </c>
      <c r="D43" s="78" t="s">
        <v>40</v>
      </c>
      <c r="E43" s="78" t="s">
        <v>31</v>
      </c>
      <c r="F43" s="78" t="s">
        <v>1072</v>
      </c>
      <c r="G43" s="79">
        <v>1423.13</v>
      </c>
      <c r="H43" s="80">
        <v>54</v>
      </c>
      <c r="I43" s="81">
        <v>79.099999999999994</v>
      </c>
      <c r="J43" s="80">
        <v>490</v>
      </c>
      <c r="K43" s="79">
        <v>697333.7</v>
      </c>
      <c r="L43" s="82">
        <v>45348</v>
      </c>
      <c r="M43" s="80" t="str">
        <f t="shared" si="0"/>
        <v>At Risk</v>
      </c>
      <c r="N43" s="80" t="str">
        <f t="shared" si="1"/>
        <v>Premium</v>
      </c>
    </row>
    <row r="44" spans="1:14" ht="16.5" x14ac:dyDescent="0.2">
      <c r="A44" s="72" t="s">
        <v>117</v>
      </c>
      <c r="B44" s="83" t="s">
        <v>118</v>
      </c>
      <c r="C44" s="83" t="s">
        <v>48</v>
      </c>
      <c r="D44" s="83" t="s">
        <v>40</v>
      </c>
      <c r="E44" s="83" t="s">
        <v>18</v>
      </c>
      <c r="F44" s="83" t="s">
        <v>1073</v>
      </c>
      <c r="G44" s="84">
        <v>9.4</v>
      </c>
      <c r="H44" s="85">
        <v>39</v>
      </c>
      <c r="I44" s="76">
        <v>74.599999999999994</v>
      </c>
      <c r="J44" s="85">
        <v>383</v>
      </c>
      <c r="K44" s="84">
        <v>3600.2</v>
      </c>
      <c r="L44" s="86">
        <v>45934</v>
      </c>
      <c r="M44" s="85" t="str">
        <f t="shared" si="0"/>
        <v>At Risk</v>
      </c>
      <c r="N44" s="85" t="str">
        <f t="shared" si="1"/>
        <v>Low</v>
      </c>
    </row>
    <row r="45" spans="1:14" ht="16.5" x14ac:dyDescent="0.2">
      <c r="A45" s="126" t="s">
        <v>119</v>
      </c>
      <c r="B45" s="78" t="s">
        <v>120</v>
      </c>
      <c r="C45" s="78" t="s">
        <v>25</v>
      </c>
      <c r="D45" s="78" t="s">
        <v>17</v>
      </c>
      <c r="E45" s="78" t="s">
        <v>22</v>
      </c>
      <c r="F45" s="78" t="s">
        <v>27</v>
      </c>
      <c r="G45" s="79">
        <v>21.87</v>
      </c>
      <c r="H45" s="80">
        <v>46</v>
      </c>
      <c r="I45" s="81">
        <v>74.599999999999994</v>
      </c>
      <c r="J45" s="80">
        <v>276</v>
      </c>
      <c r="K45" s="79">
        <v>6036.12</v>
      </c>
      <c r="L45" s="82">
        <v>45695</v>
      </c>
      <c r="M45" s="80" t="str">
        <f t="shared" si="0"/>
        <v>At Risk</v>
      </c>
      <c r="N45" s="80" t="str">
        <f t="shared" si="1"/>
        <v>Low</v>
      </c>
    </row>
    <row r="46" spans="1:14" ht="16.5" x14ac:dyDescent="0.2">
      <c r="A46" s="72" t="s">
        <v>121</v>
      </c>
      <c r="B46" s="83" t="s">
        <v>122</v>
      </c>
      <c r="C46" s="83" t="s">
        <v>16</v>
      </c>
      <c r="D46" s="83" t="s">
        <v>34</v>
      </c>
      <c r="E46" s="83" t="s">
        <v>41</v>
      </c>
      <c r="F46" s="83" t="s">
        <v>19</v>
      </c>
      <c r="G46" s="84">
        <v>517.37</v>
      </c>
      <c r="H46" s="85">
        <v>43</v>
      </c>
      <c r="I46" s="76">
        <v>93.2</v>
      </c>
      <c r="J46" s="85">
        <v>378</v>
      </c>
      <c r="K46" s="84">
        <v>195565.86</v>
      </c>
      <c r="L46" s="86">
        <v>45907</v>
      </c>
      <c r="M46" s="85" t="str">
        <f t="shared" si="0"/>
        <v>OK</v>
      </c>
      <c r="N46" s="85" t="str">
        <f t="shared" si="1"/>
        <v>High</v>
      </c>
    </row>
    <row r="47" spans="1:14" ht="16.5" x14ac:dyDescent="0.2">
      <c r="A47" s="126" t="s">
        <v>123</v>
      </c>
      <c r="B47" s="78" t="s">
        <v>124</v>
      </c>
      <c r="C47" s="78" t="s">
        <v>39</v>
      </c>
      <c r="D47" s="78" t="s">
        <v>40</v>
      </c>
      <c r="E47" s="78" t="s">
        <v>18</v>
      </c>
      <c r="F47" s="78" t="s">
        <v>42</v>
      </c>
      <c r="G47" s="79">
        <v>2905.74</v>
      </c>
      <c r="H47" s="80">
        <v>13</v>
      </c>
      <c r="I47" s="81">
        <v>73.900000000000006</v>
      </c>
      <c r="J47" s="80">
        <v>491</v>
      </c>
      <c r="K47" s="79">
        <v>1426718.34</v>
      </c>
      <c r="L47" s="82">
        <v>46068</v>
      </c>
      <c r="M47" s="80" t="str">
        <f t="shared" si="0"/>
        <v>At Risk</v>
      </c>
      <c r="N47" s="80" t="str">
        <f t="shared" si="1"/>
        <v>Premium</v>
      </c>
    </row>
    <row r="48" spans="1:14" ht="16.5" x14ac:dyDescent="0.2">
      <c r="A48" s="72" t="s">
        <v>125</v>
      </c>
      <c r="B48" s="83" t="s">
        <v>126</v>
      </c>
      <c r="C48" s="83" t="s">
        <v>25</v>
      </c>
      <c r="D48" s="83" t="s">
        <v>40</v>
      </c>
      <c r="E48" s="83" t="s">
        <v>26</v>
      </c>
      <c r="F48" s="83" t="s">
        <v>27</v>
      </c>
      <c r="G48" s="84">
        <v>25.7</v>
      </c>
      <c r="H48" s="85">
        <v>14</v>
      </c>
      <c r="I48" s="76">
        <v>74.3</v>
      </c>
      <c r="J48" s="85">
        <v>306</v>
      </c>
      <c r="K48" s="84">
        <v>7864.2</v>
      </c>
      <c r="L48" s="86">
        <v>45951</v>
      </c>
      <c r="M48" s="85" t="str">
        <f t="shared" si="0"/>
        <v>At Risk</v>
      </c>
      <c r="N48" s="85" t="str">
        <f t="shared" si="1"/>
        <v>Low</v>
      </c>
    </row>
    <row r="49" spans="1:14" ht="16.5" x14ac:dyDescent="0.2">
      <c r="A49" s="126" t="s">
        <v>127</v>
      </c>
      <c r="B49" s="78" t="s">
        <v>128</v>
      </c>
      <c r="C49" s="78" t="s">
        <v>39</v>
      </c>
      <c r="D49" s="78" t="s">
        <v>40</v>
      </c>
      <c r="E49" s="78" t="s">
        <v>51</v>
      </c>
      <c r="F49" s="78" t="s">
        <v>42</v>
      </c>
      <c r="G49" s="79">
        <v>4030.56</v>
      </c>
      <c r="H49" s="80">
        <v>51</v>
      </c>
      <c r="I49" s="81">
        <v>88.1</v>
      </c>
      <c r="J49" s="80">
        <v>347</v>
      </c>
      <c r="K49" s="79">
        <v>1398604.32</v>
      </c>
      <c r="L49" s="82">
        <v>45465</v>
      </c>
      <c r="M49" s="80" t="str">
        <f t="shared" si="0"/>
        <v>Monitor</v>
      </c>
      <c r="N49" s="80" t="str">
        <f t="shared" si="1"/>
        <v>Premium</v>
      </c>
    </row>
    <row r="50" spans="1:14" ht="16.5" x14ac:dyDescent="0.2">
      <c r="A50" s="72" t="s">
        <v>129</v>
      </c>
      <c r="B50" s="83" t="s">
        <v>130</v>
      </c>
      <c r="C50" s="83" t="s">
        <v>25</v>
      </c>
      <c r="D50" s="83" t="s">
        <v>40</v>
      </c>
      <c r="E50" s="83" t="s">
        <v>22</v>
      </c>
      <c r="F50" s="83" t="s">
        <v>27</v>
      </c>
      <c r="G50" s="84">
        <v>54.48</v>
      </c>
      <c r="H50" s="85">
        <v>15</v>
      </c>
      <c r="I50" s="76">
        <v>91.3</v>
      </c>
      <c r="J50" s="85">
        <v>85</v>
      </c>
      <c r="K50" s="84">
        <v>4630.8</v>
      </c>
      <c r="L50" s="86">
        <v>45342</v>
      </c>
      <c r="M50" s="85" t="str">
        <f t="shared" si="0"/>
        <v>Monitor</v>
      </c>
      <c r="N50" s="85" t="str">
        <f t="shared" si="1"/>
        <v>Medium</v>
      </c>
    </row>
    <row r="51" spans="1:14" ht="16.5" x14ac:dyDescent="0.2">
      <c r="A51" s="126" t="s">
        <v>131</v>
      </c>
      <c r="B51" s="78" t="s">
        <v>132</v>
      </c>
      <c r="C51" s="78" t="s">
        <v>39</v>
      </c>
      <c r="D51" s="78" t="s">
        <v>40</v>
      </c>
      <c r="E51" s="78" t="s">
        <v>58</v>
      </c>
      <c r="F51" s="78" t="s">
        <v>42</v>
      </c>
      <c r="G51" s="79">
        <v>2440.46</v>
      </c>
      <c r="H51" s="80">
        <v>57</v>
      </c>
      <c r="I51" s="81">
        <v>83.3</v>
      </c>
      <c r="J51" s="80">
        <v>109</v>
      </c>
      <c r="K51" s="79">
        <v>266010.14</v>
      </c>
      <c r="L51" s="82">
        <v>46078</v>
      </c>
      <c r="M51" s="80" t="str">
        <f t="shared" si="0"/>
        <v>At Risk</v>
      </c>
      <c r="N51" s="80" t="str">
        <f t="shared" si="1"/>
        <v>Premium</v>
      </c>
    </row>
    <row r="52" spans="1:14" ht="16.5" x14ac:dyDescent="0.2">
      <c r="A52" s="72" t="s">
        <v>133</v>
      </c>
      <c r="B52" s="83" t="s">
        <v>134</v>
      </c>
      <c r="C52" s="83" t="s">
        <v>48</v>
      </c>
      <c r="D52" s="83" t="s">
        <v>17</v>
      </c>
      <c r="E52" s="83" t="s">
        <v>26</v>
      </c>
      <c r="F52" s="83" t="s">
        <v>1073</v>
      </c>
      <c r="G52" s="84">
        <v>107.66</v>
      </c>
      <c r="H52" s="85">
        <v>56</v>
      </c>
      <c r="I52" s="76">
        <v>89.7</v>
      </c>
      <c r="J52" s="85">
        <v>64</v>
      </c>
      <c r="K52" s="84">
        <v>6890.24</v>
      </c>
      <c r="L52" s="86">
        <v>46162</v>
      </c>
      <c r="M52" s="85" t="str">
        <f t="shared" si="0"/>
        <v>Monitor</v>
      </c>
      <c r="N52" s="85" t="str">
        <f t="shared" si="1"/>
        <v>Medium</v>
      </c>
    </row>
    <row r="53" spans="1:14" ht="16.5" x14ac:dyDescent="0.2">
      <c r="A53" s="126" t="s">
        <v>135</v>
      </c>
      <c r="B53" s="78" t="s">
        <v>136</v>
      </c>
      <c r="C53" s="78" t="s">
        <v>25</v>
      </c>
      <c r="D53" s="78" t="s">
        <v>40</v>
      </c>
      <c r="E53" s="78" t="s">
        <v>22</v>
      </c>
      <c r="F53" s="78" t="s">
        <v>27</v>
      </c>
      <c r="G53" s="79">
        <v>73.56</v>
      </c>
      <c r="H53" s="80">
        <v>8</v>
      </c>
      <c r="I53" s="81">
        <v>75.5</v>
      </c>
      <c r="J53" s="80">
        <v>420</v>
      </c>
      <c r="K53" s="79">
        <v>30895.200000000001</v>
      </c>
      <c r="L53" s="82">
        <v>46243</v>
      </c>
      <c r="M53" s="80" t="str">
        <f t="shared" si="0"/>
        <v>At Risk</v>
      </c>
      <c r="N53" s="80" t="str">
        <f t="shared" si="1"/>
        <v>Medium</v>
      </c>
    </row>
    <row r="54" spans="1:14" ht="16.5" x14ac:dyDescent="0.2">
      <c r="A54" s="72" t="s">
        <v>137</v>
      </c>
      <c r="B54" s="83" t="s">
        <v>138</v>
      </c>
      <c r="C54" s="83" t="s">
        <v>25</v>
      </c>
      <c r="D54" s="83" t="s">
        <v>40</v>
      </c>
      <c r="E54" s="83" t="s">
        <v>51</v>
      </c>
      <c r="F54" s="83" t="s">
        <v>27</v>
      </c>
      <c r="G54" s="84">
        <v>49.79</v>
      </c>
      <c r="H54" s="85">
        <v>47</v>
      </c>
      <c r="I54" s="76">
        <v>95.1</v>
      </c>
      <c r="J54" s="85">
        <v>228</v>
      </c>
      <c r="K54" s="84">
        <v>11352.12</v>
      </c>
      <c r="L54" s="86">
        <v>46205</v>
      </c>
      <c r="M54" s="85" t="str">
        <f t="shared" si="0"/>
        <v>OK</v>
      </c>
      <c r="N54" s="85" t="str">
        <f t="shared" si="1"/>
        <v>Low</v>
      </c>
    </row>
    <row r="55" spans="1:14" ht="16.5" x14ac:dyDescent="0.2">
      <c r="A55" s="126" t="s">
        <v>139</v>
      </c>
      <c r="B55" s="78" t="s">
        <v>140</v>
      </c>
      <c r="C55" s="78" t="s">
        <v>39</v>
      </c>
      <c r="D55" s="78" t="s">
        <v>17</v>
      </c>
      <c r="E55" s="78" t="s">
        <v>22</v>
      </c>
      <c r="F55" s="78" t="s">
        <v>42</v>
      </c>
      <c r="G55" s="79">
        <v>4247.3599999999997</v>
      </c>
      <c r="H55" s="80">
        <v>18</v>
      </c>
      <c r="I55" s="81">
        <v>89.5</v>
      </c>
      <c r="J55" s="80">
        <v>276</v>
      </c>
      <c r="K55" s="79">
        <v>1172271.3600000001</v>
      </c>
      <c r="L55" s="82">
        <v>46284</v>
      </c>
      <c r="M55" s="80" t="str">
        <f t="shared" si="0"/>
        <v>Monitor</v>
      </c>
      <c r="N55" s="80" t="str">
        <f t="shared" si="1"/>
        <v>Premium</v>
      </c>
    </row>
    <row r="56" spans="1:14" ht="16.5" x14ac:dyDescent="0.2">
      <c r="A56" s="72" t="s">
        <v>141</v>
      </c>
      <c r="B56" s="83" t="s">
        <v>142</v>
      </c>
      <c r="C56" s="83" t="s">
        <v>39</v>
      </c>
      <c r="D56" s="83" t="s">
        <v>17</v>
      </c>
      <c r="E56" s="83" t="s">
        <v>18</v>
      </c>
      <c r="F56" s="83" t="s">
        <v>42</v>
      </c>
      <c r="G56" s="84">
        <v>1402.12</v>
      </c>
      <c r="H56" s="85">
        <v>22</v>
      </c>
      <c r="I56" s="76">
        <v>69.400000000000006</v>
      </c>
      <c r="J56" s="85">
        <v>286</v>
      </c>
      <c r="K56" s="84">
        <v>401006.32</v>
      </c>
      <c r="L56" s="86">
        <v>45457</v>
      </c>
      <c r="M56" s="85" t="str">
        <f t="shared" si="0"/>
        <v>At Risk</v>
      </c>
      <c r="N56" s="85" t="str">
        <f t="shared" si="1"/>
        <v>Premium</v>
      </c>
    </row>
    <row r="57" spans="1:14" ht="16.5" x14ac:dyDescent="0.2">
      <c r="A57" s="126" t="s">
        <v>143</v>
      </c>
      <c r="B57" s="78" t="s">
        <v>144</v>
      </c>
      <c r="C57" s="78" t="s">
        <v>48</v>
      </c>
      <c r="D57" s="78" t="s">
        <v>40</v>
      </c>
      <c r="E57" s="78" t="s">
        <v>45</v>
      </c>
      <c r="F57" s="78" t="s">
        <v>1073</v>
      </c>
      <c r="G57" s="79">
        <v>86.24</v>
      </c>
      <c r="H57" s="80">
        <v>5</v>
      </c>
      <c r="I57" s="81">
        <v>73.7</v>
      </c>
      <c r="J57" s="80">
        <v>179</v>
      </c>
      <c r="K57" s="79">
        <v>15436.96</v>
      </c>
      <c r="L57" s="82">
        <v>46246</v>
      </c>
      <c r="M57" s="80" t="str">
        <f t="shared" si="0"/>
        <v>At Risk</v>
      </c>
      <c r="N57" s="80" t="str">
        <f t="shared" si="1"/>
        <v>Medium</v>
      </c>
    </row>
    <row r="58" spans="1:14" ht="16.5" x14ac:dyDescent="0.2">
      <c r="A58" s="72" t="s">
        <v>145</v>
      </c>
      <c r="B58" s="83" t="s">
        <v>146</v>
      </c>
      <c r="C58" s="83" t="s">
        <v>48</v>
      </c>
      <c r="D58" s="83" t="s">
        <v>34</v>
      </c>
      <c r="E58" s="83" t="s">
        <v>31</v>
      </c>
      <c r="F58" s="83" t="s">
        <v>1073</v>
      </c>
      <c r="G58" s="84">
        <v>109.06</v>
      </c>
      <c r="H58" s="85">
        <v>38</v>
      </c>
      <c r="I58" s="76">
        <v>97.6</v>
      </c>
      <c r="J58" s="85">
        <v>20</v>
      </c>
      <c r="K58" s="84">
        <v>2181.1999999999998</v>
      </c>
      <c r="L58" s="86">
        <v>46071</v>
      </c>
      <c r="M58" s="85" t="str">
        <f t="shared" si="0"/>
        <v>OK</v>
      </c>
      <c r="N58" s="85" t="str">
        <f t="shared" si="1"/>
        <v>Medium</v>
      </c>
    </row>
    <row r="59" spans="1:14" ht="16.5" x14ac:dyDescent="0.2">
      <c r="A59" s="126" t="s">
        <v>147</v>
      </c>
      <c r="B59" s="78" t="s">
        <v>148</v>
      </c>
      <c r="C59" s="78" t="s">
        <v>30</v>
      </c>
      <c r="D59" s="78" t="s">
        <v>17</v>
      </c>
      <c r="E59" s="78" t="s">
        <v>31</v>
      </c>
      <c r="F59" s="78" t="s">
        <v>1072</v>
      </c>
      <c r="G59" s="79">
        <v>1736.21</v>
      </c>
      <c r="H59" s="80">
        <v>54</v>
      </c>
      <c r="I59" s="81">
        <v>73.900000000000006</v>
      </c>
      <c r="J59" s="80">
        <v>392</v>
      </c>
      <c r="K59" s="79">
        <v>680594.32</v>
      </c>
      <c r="L59" s="82">
        <v>45743</v>
      </c>
      <c r="M59" s="80" t="str">
        <f t="shared" si="0"/>
        <v>At Risk</v>
      </c>
      <c r="N59" s="80" t="str">
        <f t="shared" si="1"/>
        <v>Premium</v>
      </c>
    </row>
    <row r="60" spans="1:14" ht="16.5" x14ac:dyDescent="0.2">
      <c r="A60" s="72" t="s">
        <v>149</v>
      </c>
      <c r="B60" s="83" t="s">
        <v>150</v>
      </c>
      <c r="C60" s="83" t="s">
        <v>30</v>
      </c>
      <c r="D60" s="83" t="s">
        <v>40</v>
      </c>
      <c r="E60" s="83" t="s">
        <v>26</v>
      </c>
      <c r="F60" s="83" t="s">
        <v>1072</v>
      </c>
      <c r="G60" s="84">
        <v>899.94</v>
      </c>
      <c r="H60" s="85">
        <v>43</v>
      </c>
      <c r="I60" s="76">
        <v>85.6</v>
      </c>
      <c r="J60" s="85">
        <v>217</v>
      </c>
      <c r="K60" s="84">
        <v>195286.98</v>
      </c>
      <c r="L60" s="86">
        <v>45630</v>
      </c>
      <c r="M60" s="85" t="str">
        <f t="shared" si="0"/>
        <v>Monitor</v>
      </c>
      <c r="N60" s="85" t="str">
        <f t="shared" si="1"/>
        <v>High</v>
      </c>
    </row>
    <row r="61" spans="1:14" ht="16.5" x14ac:dyDescent="0.2">
      <c r="A61" s="126" t="s">
        <v>151</v>
      </c>
      <c r="B61" s="78" t="s">
        <v>152</v>
      </c>
      <c r="C61" s="78" t="s">
        <v>25</v>
      </c>
      <c r="D61" s="78" t="s">
        <v>40</v>
      </c>
      <c r="E61" s="78" t="s">
        <v>31</v>
      </c>
      <c r="F61" s="78" t="s">
        <v>27</v>
      </c>
      <c r="G61" s="79">
        <v>48.17</v>
      </c>
      <c r="H61" s="80">
        <v>43</v>
      </c>
      <c r="I61" s="81">
        <v>56.2</v>
      </c>
      <c r="J61" s="80">
        <v>339</v>
      </c>
      <c r="K61" s="79">
        <v>16329.63</v>
      </c>
      <c r="L61" s="82">
        <v>46169</v>
      </c>
      <c r="M61" s="80" t="str">
        <f t="shared" si="0"/>
        <v>At Risk</v>
      </c>
      <c r="N61" s="80" t="str">
        <f t="shared" si="1"/>
        <v>Low</v>
      </c>
    </row>
    <row r="62" spans="1:14" ht="16.5" x14ac:dyDescent="0.2">
      <c r="A62" s="72" t="s">
        <v>153</v>
      </c>
      <c r="B62" s="83" t="s">
        <v>154</v>
      </c>
      <c r="C62" s="83" t="s">
        <v>48</v>
      </c>
      <c r="D62" s="83" t="s">
        <v>17</v>
      </c>
      <c r="E62" s="83" t="s">
        <v>31</v>
      </c>
      <c r="F62" s="83" t="s">
        <v>1073</v>
      </c>
      <c r="G62" s="84">
        <v>42.65</v>
      </c>
      <c r="H62" s="85">
        <v>30</v>
      </c>
      <c r="I62" s="76">
        <v>69.7</v>
      </c>
      <c r="J62" s="85">
        <v>399</v>
      </c>
      <c r="K62" s="84">
        <v>17017.349999999999</v>
      </c>
      <c r="L62" s="86">
        <v>46068</v>
      </c>
      <c r="M62" s="85" t="str">
        <f t="shared" si="0"/>
        <v>At Risk</v>
      </c>
      <c r="N62" s="85" t="str">
        <f t="shared" si="1"/>
        <v>Low</v>
      </c>
    </row>
    <row r="63" spans="1:14" ht="16.5" x14ac:dyDescent="0.2">
      <c r="A63" s="126" t="s">
        <v>155</v>
      </c>
      <c r="B63" s="78" t="s">
        <v>156</v>
      </c>
      <c r="C63" s="78" t="s">
        <v>30</v>
      </c>
      <c r="D63" s="78" t="s">
        <v>34</v>
      </c>
      <c r="E63" s="78" t="s">
        <v>51</v>
      </c>
      <c r="F63" s="78" t="s">
        <v>1072</v>
      </c>
      <c r="G63" s="79">
        <v>234.89</v>
      </c>
      <c r="H63" s="80">
        <v>35</v>
      </c>
      <c r="I63" s="81">
        <v>57.3</v>
      </c>
      <c r="J63" s="80">
        <v>497</v>
      </c>
      <c r="K63" s="79">
        <v>116740.33</v>
      </c>
      <c r="L63" s="82">
        <v>46008</v>
      </c>
      <c r="M63" s="80" t="str">
        <f t="shared" si="0"/>
        <v>At Risk</v>
      </c>
      <c r="N63" s="80" t="str">
        <f t="shared" si="1"/>
        <v>Medium</v>
      </c>
    </row>
    <row r="64" spans="1:14" ht="16.5" x14ac:dyDescent="0.2">
      <c r="A64" s="72" t="s">
        <v>157</v>
      </c>
      <c r="B64" s="83" t="s">
        <v>158</v>
      </c>
      <c r="C64" s="83" t="s">
        <v>16</v>
      </c>
      <c r="D64" s="83" t="s">
        <v>34</v>
      </c>
      <c r="E64" s="83" t="s">
        <v>22</v>
      </c>
      <c r="F64" s="83" t="s">
        <v>19</v>
      </c>
      <c r="G64" s="84">
        <v>199.52</v>
      </c>
      <c r="H64" s="85">
        <v>2</v>
      </c>
      <c r="I64" s="76">
        <v>83</v>
      </c>
      <c r="J64" s="85">
        <v>132</v>
      </c>
      <c r="K64" s="84">
        <v>26336.639999999999</v>
      </c>
      <c r="L64" s="86">
        <v>45550</v>
      </c>
      <c r="M64" s="85" t="str">
        <f t="shared" si="0"/>
        <v>At Risk</v>
      </c>
      <c r="N64" s="85" t="str">
        <f t="shared" si="1"/>
        <v>Medium</v>
      </c>
    </row>
    <row r="65" spans="1:14" ht="16.5" x14ac:dyDescent="0.2">
      <c r="A65" s="126" t="s">
        <v>159</v>
      </c>
      <c r="B65" s="78" t="s">
        <v>160</v>
      </c>
      <c r="C65" s="78" t="s">
        <v>25</v>
      </c>
      <c r="D65" s="78" t="s">
        <v>34</v>
      </c>
      <c r="E65" s="78" t="s">
        <v>51</v>
      </c>
      <c r="F65" s="78" t="s">
        <v>27</v>
      </c>
      <c r="G65" s="79">
        <v>56.56</v>
      </c>
      <c r="H65" s="80">
        <v>50</v>
      </c>
      <c r="I65" s="81">
        <v>71.599999999999994</v>
      </c>
      <c r="J65" s="80">
        <v>320</v>
      </c>
      <c r="K65" s="79">
        <v>18099.2</v>
      </c>
      <c r="L65" s="82">
        <v>45526</v>
      </c>
      <c r="M65" s="80" t="str">
        <f t="shared" si="0"/>
        <v>At Risk</v>
      </c>
      <c r="N65" s="80" t="str">
        <f t="shared" si="1"/>
        <v>Medium</v>
      </c>
    </row>
    <row r="66" spans="1:14" ht="16.5" x14ac:dyDescent="0.2">
      <c r="A66" s="72" t="s">
        <v>161</v>
      </c>
      <c r="B66" s="83" t="s">
        <v>162</v>
      </c>
      <c r="C66" s="83" t="s">
        <v>16</v>
      </c>
      <c r="D66" s="83" t="s">
        <v>40</v>
      </c>
      <c r="E66" s="83" t="s">
        <v>18</v>
      </c>
      <c r="F66" s="83" t="s">
        <v>19</v>
      </c>
      <c r="G66" s="84">
        <v>481.85</v>
      </c>
      <c r="H66" s="85">
        <v>59</v>
      </c>
      <c r="I66" s="76">
        <v>98.1</v>
      </c>
      <c r="J66" s="85">
        <v>213</v>
      </c>
      <c r="K66" s="84">
        <v>102634.05</v>
      </c>
      <c r="L66" s="86">
        <v>45698</v>
      </c>
      <c r="M66" s="85" t="str">
        <f t="shared" ref="M66:M129" si="2">IF(I66&lt;85,"At Risk",IF(I66&lt;92,"Monitor","OK"))</f>
        <v>OK</v>
      </c>
      <c r="N66" s="85" t="str">
        <f t="shared" ref="N66:N129" si="3">IF(G66&lt;50,"Low",IF(G66&lt;250,"Medium",IF(G66&lt;1000,"High","Premium")))</f>
        <v>High</v>
      </c>
    </row>
    <row r="67" spans="1:14" ht="16.5" x14ac:dyDescent="0.2">
      <c r="A67" s="126" t="s">
        <v>163</v>
      </c>
      <c r="B67" s="78" t="s">
        <v>164</v>
      </c>
      <c r="C67" s="78" t="s">
        <v>48</v>
      </c>
      <c r="D67" s="78" t="s">
        <v>17</v>
      </c>
      <c r="E67" s="78" t="s">
        <v>18</v>
      </c>
      <c r="F67" s="78" t="s">
        <v>1073</v>
      </c>
      <c r="G67" s="79">
        <v>102.78</v>
      </c>
      <c r="H67" s="80">
        <v>39</v>
      </c>
      <c r="I67" s="81">
        <v>91.2</v>
      </c>
      <c r="J67" s="80">
        <v>417</v>
      </c>
      <c r="K67" s="79">
        <v>42859.26</v>
      </c>
      <c r="L67" s="82">
        <v>45376</v>
      </c>
      <c r="M67" s="80" t="str">
        <f t="shared" si="2"/>
        <v>Monitor</v>
      </c>
      <c r="N67" s="80" t="str">
        <f t="shared" si="3"/>
        <v>Medium</v>
      </c>
    </row>
    <row r="68" spans="1:14" ht="16.5" x14ac:dyDescent="0.2">
      <c r="A68" s="72" t="s">
        <v>165</v>
      </c>
      <c r="B68" s="83" t="s">
        <v>166</v>
      </c>
      <c r="C68" s="83" t="s">
        <v>39</v>
      </c>
      <c r="D68" s="83" t="s">
        <v>40</v>
      </c>
      <c r="E68" s="83" t="s">
        <v>58</v>
      </c>
      <c r="F68" s="83" t="s">
        <v>42</v>
      </c>
      <c r="G68" s="84">
        <v>2678.02</v>
      </c>
      <c r="H68" s="85">
        <v>22</v>
      </c>
      <c r="I68" s="76">
        <v>55.6</v>
      </c>
      <c r="J68" s="85">
        <v>225</v>
      </c>
      <c r="K68" s="84">
        <v>602554.5</v>
      </c>
      <c r="L68" s="86">
        <v>46295</v>
      </c>
      <c r="M68" s="85" t="str">
        <f t="shared" si="2"/>
        <v>At Risk</v>
      </c>
      <c r="N68" s="85" t="str">
        <f t="shared" si="3"/>
        <v>Premium</v>
      </c>
    </row>
    <row r="69" spans="1:14" ht="16.5" x14ac:dyDescent="0.2">
      <c r="A69" s="126" t="s">
        <v>167</v>
      </c>
      <c r="B69" s="78" t="s">
        <v>168</v>
      </c>
      <c r="C69" s="78" t="s">
        <v>30</v>
      </c>
      <c r="D69" s="78" t="s">
        <v>40</v>
      </c>
      <c r="E69" s="78" t="s">
        <v>51</v>
      </c>
      <c r="F69" s="78" t="s">
        <v>1072</v>
      </c>
      <c r="G69" s="79">
        <v>1473.16</v>
      </c>
      <c r="H69" s="80">
        <v>28</v>
      </c>
      <c r="I69" s="81">
        <v>62.9</v>
      </c>
      <c r="J69" s="80">
        <v>277</v>
      </c>
      <c r="K69" s="79">
        <v>408065.32</v>
      </c>
      <c r="L69" s="82">
        <v>45845</v>
      </c>
      <c r="M69" s="80" t="str">
        <f t="shared" si="2"/>
        <v>At Risk</v>
      </c>
      <c r="N69" s="80" t="str">
        <f t="shared" si="3"/>
        <v>Premium</v>
      </c>
    </row>
    <row r="70" spans="1:14" ht="16.5" x14ac:dyDescent="0.2">
      <c r="A70" s="72" t="s">
        <v>169</v>
      </c>
      <c r="B70" s="83" t="s">
        <v>170</v>
      </c>
      <c r="C70" s="83" t="s">
        <v>39</v>
      </c>
      <c r="D70" s="83" t="s">
        <v>40</v>
      </c>
      <c r="E70" s="83" t="s">
        <v>18</v>
      </c>
      <c r="F70" s="83" t="s">
        <v>42</v>
      </c>
      <c r="G70" s="84">
        <v>1814.83</v>
      </c>
      <c r="H70" s="85">
        <v>16</v>
      </c>
      <c r="I70" s="76">
        <v>92.4</v>
      </c>
      <c r="J70" s="85">
        <v>54</v>
      </c>
      <c r="K70" s="84">
        <v>98000.82</v>
      </c>
      <c r="L70" s="86">
        <v>45863</v>
      </c>
      <c r="M70" s="85" t="str">
        <f t="shared" si="2"/>
        <v>OK</v>
      </c>
      <c r="N70" s="85" t="str">
        <f t="shared" si="3"/>
        <v>Premium</v>
      </c>
    </row>
    <row r="71" spans="1:14" ht="16.5" x14ac:dyDescent="0.2">
      <c r="A71" s="126" t="s">
        <v>171</v>
      </c>
      <c r="B71" s="78" t="s">
        <v>172</v>
      </c>
      <c r="C71" s="78" t="s">
        <v>39</v>
      </c>
      <c r="D71" s="78" t="s">
        <v>40</v>
      </c>
      <c r="E71" s="78" t="s">
        <v>31</v>
      </c>
      <c r="F71" s="78" t="s">
        <v>42</v>
      </c>
      <c r="G71" s="79">
        <v>1881.06</v>
      </c>
      <c r="H71" s="80">
        <v>32</v>
      </c>
      <c r="I71" s="81">
        <v>93.3</v>
      </c>
      <c r="J71" s="80">
        <v>103</v>
      </c>
      <c r="K71" s="79">
        <v>193749.18</v>
      </c>
      <c r="L71" s="82">
        <v>46290</v>
      </c>
      <c r="M71" s="80" t="str">
        <f t="shared" si="2"/>
        <v>OK</v>
      </c>
      <c r="N71" s="80" t="str">
        <f t="shared" si="3"/>
        <v>Premium</v>
      </c>
    </row>
    <row r="72" spans="1:14" ht="16.5" x14ac:dyDescent="0.2">
      <c r="A72" s="72" t="s">
        <v>173</v>
      </c>
      <c r="B72" s="83" t="s">
        <v>174</v>
      </c>
      <c r="C72" s="83" t="s">
        <v>30</v>
      </c>
      <c r="D72" s="83" t="s">
        <v>40</v>
      </c>
      <c r="E72" s="83" t="s">
        <v>18</v>
      </c>
      <c r="F72" s="83" t="s">
        <v>1072</v>
      </c>
      <c r="G72" s="84">
        <v>1200.42</v>
      </c>
      <c r="H72" s="85">
        <v>34</v>
      </c>
      <c r="I72" s="76">
        <v>97.7</v>
      </c>
      <c r="J72" s="85">
        <v>53</v>
      </c>
      <c r="K72" s="84">
        <v>63622.26</v>
      </c>
      <c r="L72" s="86">
        <v>45786</v>
      </c>
      <c r="M72" s="85" t="str">
        <f t="shared" si="2"/>
        <v>OK</v>
      </c>
      <c r="N72" s="85" t="str">
        <f t="shared" si="3"/>
        <v>Premium</v>
      </c>
    </row>
    <row r="73" spans="1:14" ht="16.5" x14ac:dyDescent="0.2">
      <c r="A73" s="126" t="s">
        <v>175</v>
      </c>
      <c r="B73" s="78" t="s">
        <v>176</v>
      </c>
      <c r="C73" s="78" t="s">
        <v>25</v>
      </c>
      <c r="D73" s="78" t="s">
        <v>34</v>
      </c>
      <c r="E73" s="78" t="s">
        <v>51</v>
      </c>
      <c r="F73" s="78" t="s">
        <v>27</v>
      </c>
      <c r="G73" s="79">
        <v>52.38</v>
      </c>
      <c r="H73" s="80">
        <v>32</v>
      </c>
      <c r="I73" s="81">
        <v>75.2</v>
      </c>
      <c r="J73" s="80">
        <v>18</v>
      </c>
      <c r="K73" s="79">
        <v>942.84</v>
      </c>
      <c r="L73" s="82">
        <v>45482</v>
      </c>
      <c r="M73" s="80" t="str">
        <f t="shared" si="2"/>
        <v>At Risk</v>
      </c>
      <c r="N73" s="80" t="str">
        <f t="shared" si="3"/>
        <v>Medium</v>
      </c>
    </row>
    <row r="74" spans="1:14" ht="16.5" x14ac:dyDescent="0.2">
      <c r="A74" s="72" t="s">
        <v>177</v>
      </c>
      <c r="B74" s="83" t="s">
        <v>178</v>
      </c>
      <c r="C74" s="83" t="s">
        <v>39</v>
      </c>
      <c r="D74" s="83" t="s">
        <v>40</v>
      </c>
      <c r="E74" s="83" t="s">
        <v>18</v>
      </c>
      <c r="F74" s="83" t="s">
        <v>42</v>
      </c>
      <c r="G74" s="84">
        <v>3420.61</v>
      </c>
      <c r="H74" s="85">
        <v>24</v>
      </c>
      <c r="I74" s="76">
        <v>76.3</v>
      </c>
      <c r="J74" s="85">
        <v>281</v>
      </c>
      <c r="K74" s="84">
        <v>961191.41</v>
      </c>
      <c r="L74" s="86">
        <v>45996</v>
      </c>
      <c r="M74" s="85" t="str">
        <f t="shared" si="2"/>
        <v>At Risk</v>
      </c>
      <c r="N74" s="85" t="str">
        <f t="shared" si="3"/>
        <v>Premium</v>
      </c>
    </row>
    <row r="75" spans="1:14" ht="16.5" x14ac:dyDescent="0.2">
      <c r="A75" s="126" t="s">
        <v>179</v>
      </c>
      <c r="B75" s="78" t="s">
        <v>180</v>
      </c>
      <c r="C75" s="78" t="s">
        <v>30</v>
      </c>
      <c r="D75" s="78" t="s">
        <v>40</v>
      </c>
      <c r="E75" s="78" t="s">
        <v>51</v>
      </c>
      <c r="F75" s="78" t="s">
        <v>1072</v>
      </c>
      <c r="G75" s="79">
        <v>687.65</v>
      </c>
      <c r="H75" s="80">
        <v>17</v>
      </c>
      <c r="I75" s="81">
        <v>65.400000000000006</v>
      </c>
      <c r="J75" s="80">
        <v>379</v>
      </c>
      <c r="K75" s="79">
        <v>260619.35</v>
      </c>
      <c r="L75" s="82">
        <v>45686</v>
      </c>
      <c r="M75" s="80" t="str">
        <f t="shared" si="2"/>
        <v>At Risk</v>
      </c>
      <c r="N75" s="80" t="str">
        <f t="shared" si="3"/>
        <v>High</v>
      </c>
    </row>
    <row r="76" spans="1:14" ht="16.5" x14ac:dyDescent="0.2">
      <c r="A76" s="72" t="s">
        <v>181</v>
      </c>
      <c r="B76" s="83" t="s">
        <v>182</v>
      </c>
      <c r="C76" s="83" t="s">
        <v>25</v>
      </c>
      <c r="D76" s="83" t="s">
        <v>34</v>
      </c>
      <c r="E76" s="83" t="s">
        <v>45</v>
      </c>
      <c r="F76" s="83" t="s">
        <v>27</v>
      </c>
      <c r="G76" s="84">
        <v>16.940000000000001</v>
      </c>
      <c r="H76" s="85">
        <v>48</v>
      </c>
      <c r="I76" s="76">
        <v>76.8</v>
      </c>
      <c r="J76" s="85">
        <v>380</v>
      </c>
      <c r="K76" s="84">
        <v>6437.2</v>
      </c>
      <c r="L76" s="86">
        <v>46366</v>
      </c>
      <c r="M76" s="85" t="str">
        <f t="shared" si="2"/>
        <v>At Risk</v>
      </c>
      <c r="N76" s="85" t="str">
        <f t="shared" si="3"/>
        <v>Low</v>
      </c>
    </row>
    <row r="77" spans="1:14" ht="16.5" x14ac:dyDescent="0.2">
      <c r="A77" s="126" t="s">
        <v>183</v>
      </c>
      <c r="B77" s="78" t="s">
        <v>184</v>
      </c>
      <c r="C77" s="78" t="s">
        <v>16</v>
      </c>
      <c r="D77" s="78" t="s">
        <v>34</v>
      </c>
      <c r="E77" s="78" t="s">
        <v>18</v>
      </c>
      <c r="F77" s="78" t="s">
        <v>19</v>
      </c>
      <c r="G77" s="79">
        <v>220.61</v>
      </c>
      <c r="H77" s="80">
        <v>12</v>
      </c>
      <c r="I77" s="81">
        <v>68.599999999999994</v>
      </c>
      <c r="J77" s="80">
        <v>372</v>
      </c>
      <c r="K77" s="79">
        <v>82066.92</v>
      </c>
      <c r="L77" s="82">
        <v>46385</v>
      </c>
      <c r="M77" s="80" t="str">
        <f t="shared" si="2"/>
        <v>At Risk</v>
      </c>
      <c r="N77" s="80" t="str">
        <f t="shared" si="3"/>
        <v>Medium</v>
      </c>
    </row>
    <row r="78" spans="1:14" ht="16.5" x14ac:dyDescent="0.2">
      <c r="A78" s="72" t="s">
        <v>185</v>
      </c>
      <c r="B78" s="83" t="s">
        <v>186</v>
      </c>
      <c r="C78" s="83" t="s">
        <v>16</v>
      </c>
      <c r="D78" s="83" t="s">
        <v>34</v>
      </c>
      <c r="E78" s="83" t="s">
        <v>18</v>
      </c>
      <c r="F78" s="83" t="s">
        <v>19</v>
      </c>
      <c r="G78" s="84">
        <v>573.05999999999995</v>
      </c>
      <c r="H78" s="85">
        <v>9</v>
      </c>
      <c r="I78" s="76">
        <v>83.7</v>
      </c>
      <c r="J78" s="85">
        <v>395</v>
      </c>
      <c r="K78" s="84">
        <v>226358.7</v>
      </c>
      <c r="L78" s="86">
        <v>46297</v>
      </c>
      <c r="M78" s="85" t="str">
        <f t="shared" si="2"/>
        <v>At Risk</v>
      </c>
      <c r="N78" s="85" t="str">
        <f t="shared" si="3"/>
        <v>High</v>
      </c>
    </row>
    <row r="79" spans="1:14" ht="16.5" x14ac:dyDescent="0.2">
      <c r="A79" s="126" t="s">
        <v>187</v>
      </c>
      <c r="B79" s="78" t="s">
        <v>188</v>
      </c>
      <c r="C79" s="78" t="s">
        <v>25</v>
      </c>
      <c r="D79" s="78" t="s">
        <v>17</v>
      </c>
      <c r="E79" s="78" t="s">
        <v>51</v>
      </c>
      <c r="F79" s="78" t="s">
        <v>27</v>
      </c>
      <c r="G79" s="79">
        <v>36.36</v>
      </c>
      <c r="H79" s="80">
        <v>12</v>
      </c>
      <c r="I79" s="81">
        <v>98.4</v>
      </c>
      <c r="J79" s="80">
        <v>139</v>
      </c>
      <c r="K79" s="79">
        <v>5054.04</v>
      </c>
      <c r="L79" s="82">
        <v>46270</v>
      </c>
      <c r="M79" s="80" t="str">
        <f t="shared" si="2"/>
        <v>OK</v>
      </c>
      <c r="N79" s="80" t="str">
        <f t="shared" si="3"/>
        <v>Low</v>
      </c>
    </row>
    <row r="80" spans="1:14" ht="16.5" x14ac:dyDescent="0.2">
      <c r="A80" s="72" t="s">
        <v>189</v>
      </c>
      <c r="B80" s="83" t="s">
        <v>190</v>
      </c>
      <c r="C80" s="83" t="s">
        <v>39</v>
      </c>
      <c r="D80" s="83" t="s">
        <v>40</v>
      </c>
      <c r="E80" s="83" t="s">
        <v>26</v>
      </c>
      <c r="F80" s="83" t="s">
        <v>42</v>
      </c>
      <c r="G80" s="84">
        <v>1013.12</v>
      </c>
      <c r="H80" s="85">
        <v>52</v>
      </c>
      <c r="I80" s="76">
        <v>80.3</v>
      </c>
      <c r="J80" s="85">
        <v>165</v>
      </c>
      <c r="K80" s="84">
        <v>167164.79999999999</v>
      </c>
      <c r="L80" s="86">
        <v>45466</v>
      </c>
      <c r="M80" s="85" t="str">
        <f t="shared" si="2"/>
        <v>At Risk</v>
      </c>
      <c r="N80" s="85" t="str">
        <f t="shared" si="3"/>
        <v>Premium</v>
      </c>
    </row>
    <row r="81" spans="1:14" ht="16.5" x14ac:dyDescent="0.2">
      <c r="A81" s="126" t="s">
        <v>191</v>
      </c>
      <c r="B81" s="78" t="s">
        <v>192</v>
      </c>
      <c r="C81" s="78" t="s">
        <v>25</v>
      </c>
      <c r="D81" s="78" t="s">
        <v>34</v>
      </c>
      <c r="E81" s="78" t="s">
        <v>22</v>
      </c>
      <c r="F81" s="78" t="s">
        <v>27</v>
      </c>
      <c r="G81" s="79">
        <v>62.5</v>
      </c>
      <c r="H81" s="80">
        <v>25</v>
      </c>
      <c r="I81" s="81">
        <v>75.3</v>
      </c>
      <c r="J81" s="80">
        <v>236</v>
      </c>
      <c r="K81" s="79">
        <v>14750</v>
      </c>
      <c r="L81" s="82">
        <v>45900</v>
      </c>
      <c r="M81" s="80" t="str">
        <f t="shared" si="2"/>
        <v>At Risk</v>
      </c>
      <c r="N81" s="80" t="str">
        <f t="shared" si="3"/>
        <v>Medium</v>
      </c>
    </row>
    <row r="82" spans="1:14" ht="16.5" x14ac:dyDescent="0.2">
      <c r="A82" s="72" t="s">
        <v>193</v>
      </c>
      <c r="B82" s="83" t="s">
        <v>194</v>
      </c>
      <c r="C82" s="83" t="s">
        <v>30</v>
      </c>
      <c r="D82" s="83" t="s">
        <v>40</v>
      </c>
      <c r="E82" s="83" t="s">
        <v>26</v>
      </c>
      <c r="F82" s="83" t="s">
        <v>1072</v>
      </c>
      <c r="G82" s="84">
        <v>1297.3399999999999</v>
      </c>
      <c r="H82" s="85">
        <v>48</v>
      </c>
      <c r="I82" s="76">
        <v>59.5</v>
      </c>
      <c r="J82" s="85">
        <v>400</v>
      </c>
      <c r="K82" s="84">
        <v>518936</v>
      </c>
      <c r="L82" s="86">
        <v>45717</v>
      </c>
      <c r="M82" s="85" t="str">
        <f t="shared" si="2"/>
        <v>At Risk</v>
      </c>
      <c r="N82" s="85" t="str">
        <f t="shared" si="3"/>
        <v>Premium</v>
      </c>
    </row>
    <row r="83" spans="1:14" ht="16.5" x14ac:dyDescent="0.2">
      <c r="A83" s="126" t="s">
        <v>195</v>
      </c>
      <c r="B83" s="78" t="s">
        <v>196</v>
      </c>
      <c r="C83" s="78" t="s">
        <v>16</v>
      </c>
      <c r="D83" s="78" t="s">
        <v>17</v>
      </c>
      <c r="E83" s="78" t="s">
        <v>45</v>
      </c>
      <c r="F83" s="78" t="s">
        <v>19</v>
      </c>
      <c r="G83" s="79">
        <v>463.99</v>
      </c>
      <c r="H83" s="80">
        <v>11</v>
      </c>
      <c r="I83" s="81">
        <v>55.1</v>
      </c>
      <c r="J83" s="80">
        <v>240</v>
      </c>
      <c r="K83" s="79">
        <v>111357.6</v>
      </c>
      <c r="L83" s="82">
        <v>46254</v>
      </c>
      <c r="M83" s="80" t="str">
        <f t="shared" si="2"/>
        <v>At Risk</v>
      </c>
      <c r="N83" s="80" t="str">
        <f t="shared" si="3"/>
        <v>High</v>
      </c>
    </row>
    <row r="84" spans="1:14" ht="16.5" x14ac:dyDescent="0.2">
      <c r="A84" s="72" t="s">
        <v>197</v>
      </c>
      <c r="B84" s="83" t="s">
        <v>198</v>
      </c>
      <c r="C84" s="83" t="s">
        <v>48</v>
      </c>
      <c r="D84" s="83" t="s">
        <v>17</v>
      </c>
      <c r="E84" s="83" t="s">
        <v>18</v>
      </c>
      <c r="F84" s="83" t="s">
        <v>1073</v>
      </c>
      <c r="G84" s="84">
        <v>85.84</v>
      </c>
      <c r="H84" s="85">
        <v>30</v>
      </c>
      <c r="I84" s="76">
        <v>58.2</v>
      </c>
      <c r="J84" s="85">
        <v>129</v>
      </c>
      <c r="K84" s="84">
        <v>11073.36</v>
      </c>
      <c r="L84" s="86">
        <v>45833</v>
      </c>
      <c r="M84" s="85" t="str">
        <f t="shared" si="2"/>
        <v>At Risk</v>
      </c>
      <c r="N84" s="85" t="str">
        <f t="shared" si="3"/>
        <v>Medium</v>
      </c>
    </row>
    <row r="85" spans="1:14" ht="16.5" x14ac:dyDescent="0.2">
      <c r="A85" s="126" t="s">
        <v>199</v>
      </c>
      <c r="B85" s="78" t="s">
        <v>200</v>
      </c>
      <c r="C85" s="78" t="s">
        <v>39</v>
      </c>
      <c r="D85" s="78" t="s">
        <v>17</v>
      </c>
      <c r="E85" s="78" t="s">
        <v>22</v>
      </c>
      <c r="F85" s="78" t="s">
        <v>42</v>
      </c>
      <c r="G85" s="79">
        <v>3343.88</v>
      </c>
      <c r="H85" s="80">
        <v>59</v>
      </c>
      <c r="I85" s="81">
        <v>67</v>
      </c>
      <c r="J85" s="80">
        <v>82</v>
      </c>
      <c r="K85" s="79">
        <v>274198.15999999997</v>
      </c>
      <c r="L85" s="82">
        <v>45438</v>
      </c>
      <c r="M85" s="80" t="str">
        <f t="shared" si="2"/>
        <v>At Risk</v>
      </c>
      <c r="N85" s="80" t="str">
        <f t="shared" si="3"/>
        <v>Premium</v>
      </c>
    </row>
    <row r="86" spans="1:14" ht="16.5" x14ac:dyDescent="0.2">
      <c r="A86" s="72" t="s">
        <v>201</v>
      </c>
      <c r="B86" s="83" t="s">
        <v>202</v>
      </c>
      <c r="C86" s="83" t="s">
        <v>30</v>
      </c>
      <c r="D86" s="83" t="s">
        <v>40</v>
      </c>
      <c r="E86" s="83" t="s">
        <v>18</v>
      </c>
      <c r="F86" s="83" t="s">
        <v>1072</v>
      </c>
      <c r="G86" s="84">
        <v>990.48</v>
      </c>
      <c r="H86" s="85">
        <v>30</v>
      </c>
      <c r="I86" s="76">
        <v>86</v>
      </c>
      <c r="J86" s="85">
        <v>368</v>
      </c>
      <c r="K86" s="84">
        <v>364496.64000000001</v>
      </c>
      <c r="L86" s="86">
        <v>46116</v>
      </c>
      <c r="M86" s="85" t="str">
        <f t="shared" si="2"/>
        <v>Monitor</v>
      </c>
      <c r="N86" s="85" t="str">
        <f t="shared" si="3"/>
        <v>High</v>
      </c>
    </row>
    <row r="87" spans="1:14" ht="16.5" x14ac:dyDescent="0.2">
      <c r="A87" s="126" t="s">
        <v>203</v>
      </c>
      <c r="B87" s="78" t="s">
        <v>204</v>
      </c>
      <c r="C87" s="78" t="s">
        <v>25</v>
      </c>
      <c r="D87" s="78" t="s">
        <v>40</v>
      </c>
      <c r="E87" s="78" t="s">
        <v>58</v>
      </c>
      <c r="F87" s="78" t="s">
        <v>27</v>
      </c>
      <c r="G87" s="79">
        <v>48.65</v>
      </c>
      <c r="H87" s="80">
        <v>57</v>
      </c>
      <c r="I87" s="81">
        <v>74.400000000000006</v>
      </c>
      <c r="J87" s="80">
        <v>175</v>
      </c>
      <c r="K87" s="79">
        <v>8513.75</v>
      </c>
      <c r="L87" s="82">
        <v>45804</v>
      </c>
      <c r="M87" s="80" t="str">
        <f t="shared" si="2"/>
        <v>At Risk</v>
      </c>
      <c r="N87" s="80" t="str">
        <f t="shared" si="3"/>
        <v>Low</v>
      </c>
    </row>
    <row r="88" spans="1:14" ht="16.5" x14ac:dyDescent="0.2">
      <c r="A88" s="72" t="s">
        <v>205</v>
      </c>
      <c r="B88" s="83" t="s">
        <v>206</v>
      </c>
      <c r="C88" s="83" t="s">
        <v>48</v>
      </c>
      <c r="D88" s="83" t="s">
        <v>34</v>
      </c>
      <c r="E88" s="83" t="s">
        <v>26</v>
      </c>
      <c r="F88" s="83" t="s">
        <v>1073</v>
      </c>
      <c r="G88" s="84">
        <v>119.95</v>
      </c>
      <c r="H88" s="85">
        <v>44</v>
      </c>
      <c r="I88" s="76">
        <v>92</v>
      </c>
      <c r="J88" s="85">
        <v>305</v>
      </c>
      <c r="K88" s="84">
        <v>36584.75</v>
      </c>
      <c r="L88" s="86">
        <v>45374</v>
      </c>
      <c r="M88" s="85" t="str">
        <f t="shared" si="2"/>
        <v>OK</v>
      </c>
      <c r="N88" s="85" t="str">
        <f t="shared" si="3"/>
        <v>Medium</v>
      </c>
    </row>
    <row r="89" spans="1:14" ht="16.5" x14ac:dyDescent="0.2">
      <c r="A89" s="126" t="s">
        <v>207</v>
      </c>
      <c r="B89" s="78" t="s">
        <v>208</v>
      </c>
      <c r="C89" s="78" t="s">
        <v>25</v>
      </c>
      <c r="D89" s="78" t="s">
        <v>40</v>
      </c>
      <c r="E89" s="78" t="s">
        <v>18</v>
      </c>
      <c r="F89" s="78" t="s">
        <v>27</v>
      </c>
      <c r="G89" s="79">
        <v>16.16</v>
      </c>
      <c r="H89" s="80">
        <v>38</v>
      </c>
      <c r="I89" s="81">
        <v>74.599999999999994</v>
      </c>
      <c r="J89" s="80">
        <v>426</v>
      </c>
      <c r="K89" s="79">
        <v>6884.16</v>
      </c>
      <c r="L89" s="82">
        <v>46299</v>
      </c>
      <c r="M89" s="80" t="str">
        <f t="shared" si="2"/>
        <v>At Risk</v>
      </c>
      <c r="N89" s="80" t="str">
        <f t="shared" si="3"/>
        <v>Low</v>
      </c>
    </row>
    <row r="90" spans="1:14" ht="16.5" x14ac:dyDescent="0.2">
      <c r="A90" s="72" t="s">
        <v>209</v>
      </c>
      <c r="B90" s="83" t="s">
        <v>210</v>
      </c>
      <c r="C90" s="83" t="s">
        <v>30</v>
      </c>
      <c r="D90" s="83" t="s">
        <v>40</v>
      </c>
      <c r="E90" s="83" t="s">
        <v>41</v>
      </c>
      <c r="F90" s="83" t="s">
        <v>1072</v>
      </c>
      <c r="G90" s="84">
        <v>1406.24</v>
      </c>
      <c r="H90" s="85">
        <v>55</v>
      </c>
      <c r="I90" s="76">
        <v>62.2</v>
      </c>
      <c r="J90" s="85">
        <v>220</v>
      </c>
      <c r="K90" s="84">
        <v>309372.79999999999</v>
      </c>
      <c r="L90" s="86">
        <v>46306</v>
      </c>
      <c r="M90" s="85" t="str">
        <f t="shared" si="2"/>
        <v>At Risk</v>
      </c>
      <c r="N90" s="85" t="str">
        <f t="shared" si="3"/>
        <v>Premium</v>
      </c>
    </row>
    <row r="91" spans="1:14" ht="16.5" x14ac:dyDescent="0.2">
      <c r="A91" s="126" t="s">
        <v>211</v>
      </c>
      <c r="B91" s="78" t="s">
        <v>212</v>
      </c>
      <c r="C91" s="78" t="s">
        <v>25</v>
      </c>
      <c r="D91" s="78" t="s">
        <v>17</v>
      </c>
      <c r="E91" s="78" t="s">
        <v>58</v>
      </c>
      <c r="F91" s="78" t="s">
        <v>27</v>
      </c>
      <c r="G91" s="79">
        <v>26.53</v>
      </c>
      <c r="H91" s="80">
        <v>21</v>
      </c>
      <c r="I91" s="81">
        <v>60.2</v>
      </c>
      <c r="J91" s="80">
        <v>405</v>
      </c>
      <c r="K91" s="79">
        <v>10744.65</v>
      </c>
      <c r="L91" s="82">
        <v>46119</v>
      </c>
      <c r="M91" s="80" t="str">
        <f t="shared" si="2"/>
        <v>At Risk</v>
      </c>
      <c r="N91" s="80" t="str">
        <f t="shared" si="3"/>
        <v>Low</v>
      </c>
    </row>
    <row r="92" spans="1:14" ht="16.5" x14ac:dyDescent="0.2">
      <c r="A92" s="72" t="s">
        <v>213</v>
      </c>
      <c r="B92" s="83" t="s">
        <v>214</v>
      </c>
      <c r="C92" s="83" t="s">
        <v>25</v>
      </c>
      <c r="D92" s="83" t="s">
        <v>40</v>
      </c>
      <c r="E92" s="83" t="s">
        <v>26</v>
      </c>
      <c r="F92" s="83" t="s">
        <v>27</v>
      </c>
      <c r="G92" s="84">
        <v>16.63</v>
      </c>
      <c r="H92" s="85">
        <v>24</v>
      </c>
      <c r="I92" s="76">
        <v>83</v>
      </c>
      <c r="J92" s="85">
        <v>265</v>
      </c>
      <c r="K92" s="84">
        <v>4406.95</v>
      </c>
      <c r="L92" s="86">
        <v>46197</v>
      </c>
      <c r="M92" s="85" t="str">
        <f t="shared" si="2"/>
        <v>At Risk</v>
      </c>
      <c r="N92" s="85" t="str">
        <f t="shared" si="3"/>
        <v>Low</v>
      </c>
    </row>
    <row r="93" spans="1:14" ht="16.5" x14ac:dyDescent="0.2">
      <c r="A93" s="126" t="s">
        <v>215</v>
      </c>
      <c r="B93" s="78" t="s">
        <v>216</v>
      </c>
      <c r="C93" s="78" t="s">
        <v>30</v>
      </c>
      <c r="D93" s="78" t="s">
        <v>40</v>
      </c>
      <c r="E93" s="78" t="s">
        <v>18</v>
      </c>
      <c r="F93" s="78" t="s">
        <v>1072</v>
      </c>
      <c r="G93" s="79">
        <v>988.61</v>
      </c>
      <c r="H93" s="80">
        <v>45</v>
      </c>
      <c r="I93" s="81">
        <v>76.8</v>
      </c>
      <c r="J93" s="80">
        <v>24</v>
      </c>
      <c r="K93" s="79">
        <v>23726.639999999999</v>
      </c>
      <c r="L93" s="82">
        <v>45782</v>
      </c>
      <c r="M93" s="80" t="str">
        <f t="shared" si="2"/>
        <v>At Risk</v>
      </c>
      <c r="N93" s="80" t="str">
        <f t="shared" si="3"/>
        <v>High</v>
      </c>
    </row>
    <row r="94" spans="1:14" ht="16.5" x14ac:dyDescent="0.2">
      <c r="A94" s="72" t="s">
        <v>217</v>
      </c>
      <c r="B94" s="83" t="s">
        <v>218</v>
      </c>
      <c r="C94" s="83" t="s">
        <v>25</v>
      </c>
      <c r="D94" s="83" t="s">
        <v>17</v>
      </c>
      <c r="E94" s="83" t="s">
        <v>31</v>
      </c>
      <c r="F94" s="83" t="s">
        <v>27</v>
      </c>
      <c r="G94" s="84">
        <v>9.27</v>
      </c>
      <c r="H94" s="85">
        <v>54</v>
      </c>
      <c r="I94" s="76">
        <v>96.1</v>
      </c>
      <c r="J94" s="85">
        <v>246</v>
      </c>
      <c r="K94" s="84">
        <v>2280.42</v>
      </c>
      <c r="L94" s="86">
        <v>45532</v>
      </c>
      <c r="M94" s="85" t="str">
        <f t="shared" si="2"/>
        <v>OK</v>
      </c>
      <c r="N94" s="85" t="str">
        <f t="shared" si="3"/>
        <v>Low</v>
      </c>
    </row>
    <row r="95" spans="1:14" ht="16.5" x14ac:dyDescent="0.2">
      <c r="A95" s="126" t="s">
        <v>219</v>
      </c>
      <c r="B95" s="78" t="s">
        <v>220</v>
      </c>
      <c r="C95" s="78" t="s">
        <v>30</v>
      </c>
      <c r="D95" s="78" t="s">
        <v>40</v>
      </c>
      <c r="E95" s="78" t="s">
        <v>18</v>
      </c>
      <c r="F95" s="78" t="s">
        <v>1072</v>
      </c>
      <c r="G95" s="79">
        <v>947.88</v>
      </c>
      <c r="H95" s="80">
        <v>31</v>
      </c>
      <c r="I95" s="81">
        <v>99.1</v>
      </c>
      <c r="J95" s="80">
        <v>134</v>
      </c>
      <c r="K95" s="79">
        <v>127015.92</v>
      </c>
      <c r="L95" s="82">
        <v>46227</v>
      </c>
      <c r="M95" s="80" t="str">
        <f t="shared" si="2"/>
        <v>OK</v>
      </c>
      <c r="N95" s="80" t="str">
        <f t="shared" si="3"/>
        <v>High</v>
      </c>
    </row>
    <row r="96" spans="1:14" ht="16.5" x14ac:dyDescent="0.2">
      <c r="A96" s="72" t="s">
        <v>221</v>
      </c>
      <c r="B96" s="83" t="s">
        <v>222</v>
      </c>
      <c r="C96" s="83" t="s">
        <v>39</v>
      </c>
      <c r="D96" s="83" t="s">
        <v>17</v>
      </c>
      <c r="E96" s="83" t="s">
        <v>45</v>
      </c>
      <c r="F96" s="83" t="s">
        <v>42</v>
      </c>
      <c r="G96" s="84">
        <v>4360.93</v>
      </c>
      <c r="H96" s="85">
        <v>18</v>
      </c>
      <c r="I96" s="76">
        <v>89.8</v>
      </c>
      <c r="J96" s="85">
        <v>447</v>
      </c>
      <c r="K96" s="84">
        <v>1949335.71</v>
      </c>
      <c r="L96" s="86">
        <v>46141</v>
      </c>
      <c r="M96" s="85" t="str">
        <f t="shared" si="2"/>
        <v>Monitor</v>
      </c>
      <c r="N96" s="85" t="str">
        <f t="shared" si="3"/>
        <v>Premium</v>
      </c>
    </row>
    <row r="97" spans="1:14" ht="16.5" x14ac:dyDescent="0.2">
      <c r="A97" s="126" t="s">
        <v>223</v>
      </c>
      <c r="B97" s="78" t="s">
        <v>224</v>
      </c>
      <c r="C97" s="78" t="s">
        <v>30</v>
      </c>
      <c r="D97" s="78" t="s">
        <v>34</v>
      </c>
      <c r="E97" s="78" t="s">
        <v>18</v>
      </c>
      <c r="F97" s="78" t="s">
        <v>1072</v>
      </c>
      <c r="G97" s="79">
        <v>1506.89</v>
      </c>
      <c r="H97" s="80">
        <v>54</v>
      </c>
      <c r="I97" s="81">
        <v>81.400000000000006</v>
      </c>
      <c r="J97" s="80">
        <v>347</v>
      </c>
      <c r="K97" s="79">
        <v>522890.83</v>
      </c>
      <c r="L97" s="82">
        <v>46294</v>
      </c>
      <c r="M97" s="80" t="str">
        <f t="shared" si="2"/>
        <v>At Risk</v>
      </c>
      <c r="N97" s="80" t="str">
        <f t="shared" si="3"/>
        <v>Premium</v>
      </c>
    </row>
    <row r="98" spans="1:14" ht="16.5" x14ac:dyDescent="0.2">
      <c r="A98" s="72" t="s">
        <v>225</v>
      </c>
      <c r="B98" s="83" t="s">
        <v>226</v>
      </c>
      <c r="C98" s="83" t="s">
        <v>25</v>
      </c>
      <c r="D98" s="83" t="s">
        <v>40</v>
      </c>
      <c r="E98" s="83" t="s">
        <v>41</v>
      </c>
      <c r="F98" s="83" t="s">
        <v>27</v>
      </c>
      <c r="G98" s="84">
        <v>45.05</v>
      </c>
      <c r="H98" s="85">
        <v>35</v>
      </c>
      <c r="I98" s="76">
        <v>72</v>
      </c>
      <c r="J98" s="85">
        <v>487</v>
      </c>
      <c r="K98" s="84">
        <v>21939.35</v>
      </c>
      <c r="L98" s="86">
        <v>45951</v>
      </c>
      <c r="M98" s="85" t="str">
        <f t="shared" si="2"/>
        <v>At Risk</v>
      </c>
      <c r="N98" s="85" t="str">
        <f t="shared" si="3"/>
        <v>Low</v>
      </c>
    </row>
    <row r="99" spans="1:14" ht="16.5" x14ac:dyDescent="0.2">
      <c r="A99" s="126" t="s">
        <v>227</v>
      </c>
      <c r="B99" s="78" t="s">
        <v>228</v>
      </c>
      <c r="C99" s="78" t="s">
        <v>25</v>
      </c>
      <c r="D99" s="78" t="s">
        <v>40</v>
      </c>
      <c r="E99" s="78" t="s">
        <v>31</v>
      </c>
      <c r="F99" s="78" t="s">
        <v>27</v>
      </c>
      <c r="G99" s="79">
        <v>5.4</v>
      </c>
      <c r="H99" s="80">
        <v>48</v>
      </c>
      <c r="I99" s="81">
        <v>76.3</v>
      </c>
      <c r="J99" s="80">
        <v>477</v>
      </c>
      <c r="K99" s="79">
        <v>2575.8000000000002</v>
      </c>
      <c r="L99" s="82">
        <v>46072</v>
      </c>
      <c r="M99" s="80" t="str">
        <f t="shared" si="2"/>
        <v>At Risk</v>
      </c>
      <c r="N99" s="80" t="str">
        <f t="shared" si="3"/>
        <v>Low</v>
      </c>
    </row>
    <row r="100" spans="1:14" ht="16.5" x14ac:dyDescent="0.2">
      <c r="A100" s="72" t="s">
        <v>229</v>
      </c>
      <c r="B100" s="83" t="s">
        <v>230</v>
      </c>
      <c r="C100" s="83" t="s">
        <v>39</v>
      </c>
      <c r="D100" s="83" t="s">
        <v>34</v>
      </c>
      <c r="E100" s="83" t="s">
        <v>45</v>
      </c>
      <c r="F100" s="83" t="s">
        <v>42</v>
      </c>
      <c r="G100" s="84">
        <v>2660.77</v>
      </c>
      <c r="H100" s="85">
        <v>38</v>
      </c>
      <c r="I100" s="76">
        <v>69.900000000000006</v>
      </c>
      <c r="J100" s="85">
        <v>61</v>
      </c>
      <c r="K100" s="84">
        <v>162306.97</v>
      </c>
      <c r="L100" s="86">
        <v>46193</v>
      </c>
      <c r="M100" s="85" t="str">
        <f t="shared" si="2"/>
        <v>At Risk</v>
      </c>
      <c r="N100" s="85" t="str">
        <f t="shared" si="3"/>
        <v>Premium</v>
      </c>
    </row>
    <row r="101" spans="1:14" ht="16.5" x14ac:dyDescent="0.2">
      <c r="A101" s="126" t="s">
        <v>231</v>
      </c>
      <c r="B101" s="78" t="s">
        <v>232</v>
      </c>
      <c r="C101" s="78" t="s">
        <v>39</v>
      </c>
      <c r="D101" s="78" t="s">
        <v>17</v>
      </c>
      <c r="E101" s="78" t="s">
        <v>45</v>
      </c>
      <c r="F101" s="78" t="s">
        <v>42</v>
      </c>
      <c r="G101" s="79">
        <v>2226.9</v>
      </c>
      <c r="H101" s="80">
        <v>42</v>
      </c>
      <c r="I101" s="81">
        <v>98.6</v>
      </c>
      <c r="J101" s="80">
        <v>48</v>
      </c>
      <c r="K101" s="79">
        <v>106891.2</v>
      </c>
      <c r="L101" s="82">
        <v>46253</v>
      </c>
      <c r="M101" s="80" t="str">
        <f t="shared" si="2"/>
        <v>OK</v>
      </c>
      <c r="N101" s="80" t="str">
        <f t="shared" si="3"/>
        <v>Premium</v>
      </c>
    </row>
    <row r="102" spans="1:14" ht="16.5" x14ac:dyDescent="0.2">
      <c r="A102" s="72" t="s">
        <v>233</v>
      </c>
      <c r="B102" s="83" t="s">
        <v>234</v>
      </c>
      <c r="C102" s="83" t="s">
        <v>25</v>
      </c>
      <c r="D102" s="83" t="s">
        <v>40</v>
      </c>
      <c r="E102" s="83" t="s">
        <v>58</v>
      </c>
      <c r="F102" s="83" t="s">
        <v>27</v>
      </c>
      <c r="G102" s="84">
        <v>68.44</v>
      </c>
      <c r="H102" s="85">
        <v>55</v>
      </c>
      <c r="I102" s="76">
        <v>85.3</v>
      </c>
      <c r="J102" s="85">
        <v>283</v>
      </c>
      <c r="K102" s="84">
        <v>19368.52</v>
      </c>
      <c r="L102" s="86">
        <v>46070</v>
      </c>
      <c r="M102" s="85" t="str">
        <f t="shared" si="2"/>
        <v>Monitor</v>
      </c>
      <c r="N102" s="85" t="str">
        <f t="shared" si="3"/>
        <v>Medium</v>
      </c>
    </row>
    <row r="103" spans="1:14" ht="16.5" x14ac:dyDescent="0.2">
      <c r="A103" s="126" t="s">
        <v>235</v>
      </c>
      <c r="B103" s="78" t="s">
        <v>236</v>
      </c>
      <c r="C103" s="78" t="s">
        <v>25</v>
      </c>
      <c r="D103" s="78" t="s">
        <v>17</v>
      </c>
      <c r="E103" s="78" t="s">
        <v>58</v>
      </c>
      <c r="F103" s="78" t="s">
        <v>27</v>
      </c>
      <c r="G103" s="79">
        <v>20.309999999999999</v>
      </c>
      <c r="H103" s="80">
        <v>44</v>
      </c>
      <c r="I103" s="81">
        <v>96.4</v>
      </c>
      <c r="J103" s="80">
        <v>126</v>
      </c>
      <c r="K103" s="79">
        <v>2559.06</v>
      </c>
      <c r="L103" s="82">
        <v>45477</v>
      </c>
      <c r="M103" s="80" t="str">
        <f t="shared" si="2"/>
        <v>OK</v>
      </c>
      <c r="N103" s="80" t="str">
        <f t="shared" si="3"/>
        <v>Low</v>
      </c>
    </row>
    <row r="104" spans="1:14" ht="16.5" x14ac:dyDescent="0.2">
      <c r="A104" s="72" t="s">
        <v>237</v>
      </c>
      <c r="B104" s="83" t="s">
        <v>238</v>
      </c>
      <c r="C104" s="83" t="s">
        <v>16</v>
      </c>
      <c r="D104" s="83" t="s">
        <v>40</v>
      </c>
      <c r="E104" s="83" t="s">
        <v>18</v>
      </c>
      <c r="F104" s="83" t="s">
        <v>19</v>
      </c>
      <c r="G104" s="84">
        <v>727.57</v>
      </c>
      <c r="H104" s="85">
        <v>3</v>
      </c>
      <c r="I104" s="76">
        <v>69.599999999999994</v>
      </c>
      <c r="J104" s="85">
        <v>38</v>
      </c>
      <c r="K104" s="84">
        <v>27647.66</v>
      </c>
      <c r="L104" s="86">
        <v>45892</v>
      </c>
      <c r="M104" s="85" t="str">
        <f t="shared" si="2"/>
        <v>At Risk</v>
      </c>
      <c r="N104" s="85" t="str">
        <f t="shared" si="3"/>
        <v>High</v>
      </c>
    </row>
    <row r="105" spans="1:14" ht="16.5" x14ac:dyDescent="0.2">
      <c r="A105" s="126" t="s">
        <v>239</v>
      </c>
      <c r="B105" s="78" t="s">
        <v>240</v>
      </c>
      <c r="C105" s="78" t="s">
        <v>39</v>
      </c>
      <c r="D105" s="78" t="s">
        <v>17</v>
      </c>
      <c r="E105" s="78" t="s">
        <v>31</v>
      </c>
      <c r="F105" s="78" t="s">
        <v>42</v>
      </c>
      <c r="G105" s="79">
        <v>2959.86</v>
      </c>
      <c r="H105" s="80">
        <v>51</v>
      </c>
      <c r="I105" s="81">
        <v>63.1</v>
      </c>
      <c r="J105" s="80">
        <v>99</v>
      </c>
      <c r="K105" s="79">
        <v>293026.14</v>
      </c>
      <c r="L105" s="82">
        <v>45453</v>
      </c>
      <c r="M105" s="80" t="str">
        <f t="shared" si="2"/>
        <v>At Risk</v>
      </c>
      <c r="N105" s="80" t="str">
        <f t="shared" si="3"/>
        <v>Premium</v>
      </c>
    </row>
    <row r="106" spans="1:14" ht="16.5" x14ac:dyDescent="0.2">
      <c r="A106" s="72" t="s">
        <v>241</v>
      </c>
      <c r="B106" s="83" t="s">
        <v>242</v>
      </c>
      <c r="C106" s="83" t="s">
        <v>25</v>
      </c>
      <c r="D106" s="83" t="s">
        <v>40</v>
      </c>
      <c r="E106" s="83" t="s">
        <v>51</v>
      </c>
      <c r="F106" s="83" t="s">
        <v>27</v>
      </c>
      <c r="G106" s="84">
        <v>73.2</v>
      </c>
      <c r="H106" s="85">
        <v>10</v>
      </c>
      <c r="I106" s="76">
        <v>65.400000000000006</v>
      </c>
      <c r="J106" s="85">
        <v>336</v>
      </c>
      <c r="K106" s="84">
        <v>24595.200000000001</v>
      </c>
      <c r="L106" s="86">
        <v>45812</v>
      </c>
      <c r="M106" s="85" t="str">
        <f t="shared" si="2"/>
        <v>At Risk</v>
      </c>
      <c r="N106" s="85" t="str">
        <f t="shared" si="3"/>
        <v>Medium</v>
      </c>
    </row>
    <row r="107" spans="1:14" ht="16.5" x14ac:dyDescent="0.2">
      <c r="A107" s="126" t="s">
        <v>243</v>
      </c>
      <c r="B107" s="78" t="s">
        <v>244</v>
      </c>
      <c r="C107" s="78" t="s">
        <v>16</v>
      </c>
      <c r="D107" s="78" t="s">
        <v>34</v>
      </c>
      <c r="E107" s="78" t="s">
        <v>51</v>
      </c>
      <c r="F107" s="78" t="s">
        <v>19</v>
      </c>
      <c r="G107" s="79">
        <v>725.91</v>
      </c>
      <c r="H107" s="80">
        <v>44</v>
      </c>
      <c r="I107" s="81">
        <v>79.599999999999994</v>
      </c>
      <c r="J107" s="80">
        <v>47</v>
      </c>
      <c r="K107" s="79">
        <v>34117.769999999997</v>
      </c>
      <c r="L107" s="82">
        <v>46196</v>
      </c>
      <c r="M107" s="80" t="str">
        <f t="shared" si="2"/>
        <v>At Risk</v>
      </c>
      <c r="N107" s="80" t="str">
        <f t="shared" si="3"/>
        <v>High</v>
      </c>
    </row>
    <row r="108" spans="1:14" ht="16.5" x14ac:dyDescent="0.2">
      <c r="A108" s="72" t="s">
        <v>245</v>
      </c>
      <c r="B108" s="83" t="s">
        <v>246</v>
      </c>
      <c r="C108" s="83" t="s">
        <v>30</v>
      </c>
      <c r="D108" s="83" t="s">
        <v>40</v>
      </c>
      <c r="E108" s="83" t="s">
        <v>31</v>
      </c>
      <c r="F108" s="83" t="s">
        <v>1072</v>
      </c>
      <c r="G108" s="84">
        <v>1442.56</v>
      </c>
      <c r="H108" s="85">
        <v>30</v>
      </c>
      <c r="I108" s="76">
        <v>93</v>
      </c>
      <c r="J108" s="85">
        <v>111</v>
      </c>
      <c r="K108" s="84">
        <v>160124.16</v>
      </c>
      <c r="L108" s="86">
        <v>46079</v>
      </c>
      <c r="M108" s="85" t="str">
        <f t="shared" si="2"/>
        <v>OK</v>
      </c>
      <c r="N108" s="85" t="str">
        <f t="shared" si="3"/>
        <v>Premium</v>
      </c>
    </row>
    <row r="109" spans="1:14" ht="16.5" x14ac:dyDescent="0.2">
      <c r="A109" s="126" t="s">
        <v>247</v>
      </c>
      <c r="B109" s="78" t="s">
        <v>248</v>
      </c>
      <c r="C109" s="78" t="s">
        <v>48</v>
      </c>
      <c r="D109" s="78" t="s">
        <v>40</v>
      </c>
      <c r="E109" s="78" t="s">
        <v>41</v>
      </c>
      <c r="F109" s="78" t="s">
        <v>1073</v>
      </c>
      <c r="G109" s="79">
        <v>71.099999999999994</v>
      </c>
      <c r="H109" s="80">
        <v>45</v>
      </c>
      <c r="I109" s="81">
        <v>68.3</v>
      </c>
      <c r="J109" s="80">
        <v>434</v>
      </c>
      <c r="K109" s="79">
        <v>30857.4</v>
      </c>
      <c r="L109" s="82">
        <v>46102</v>
      </c>
      <c r="M109" s="80" t="str">
        <f t="shared" si="2"/>
        <v>At Risk</v>
      </c>
      <c r="N109" s="80" t="str">
        <f t="shared" si="3"/>
        <v>Medium</v>
      </c>
    </row>
    <row r="110" spans="1:14" ht="16.5" x14ac:dyDescent="0.2">
      <c r="A110" s="72" t="s">
        <v>249</v>
      </c>
      <c r="B110" s="83" t="s">
        <v>250</v>
      </c>
      <c r="C110" s="83" t="s">
        <v>25</v>
      </c>
      <c r="D110" s="83" t="s">
        <v>34</v>
      </c>
      <c r="E110" s="83" t="s">
        <v>26</v>
      </c>
      <c r="F110" s="83" t="s">
        <v>27</v>
      </c>
      <c r="G110" s="84">
        <v>73.03</v>
      </c>
      <c r="H110" s="85">
        <v>48</v>
      </c>
      <c r="I110" s="76">
        <v>77.400000000000006</v>
      </c>
      <c r="J110" s="85">
        <v>472</v>
      </c>
      <c r="K110" s="84">
        <v>34470.160000000003</v>
      </c>
      <c r="L110" s="86">
        <v>45878</v>
      </c>
      <c r="M110" s="85" t="str">
        <f t="shared" si="2"/>
        <v>At Risk</v>
      </c>
      <c r="N110" s="85" t="str">
        <f t="shared" si="3"/>
        <v>Medium</v>
      </c>
    </row>
    <row r="111" spans="1:14" ht="16.5" x14ac:dyDescent="0.2">
      <c r="A111" s="126" t="s">
        <v>251</v>
      </c>
      <c r="B111" s="78" t="s">
        <v>252</v>
      </c>
      <c r="C111" s="78" t="s">
        <v>30</v>
      </c>
      <c r="D111" s="78" t="s">
        <v>17</v>
      </c>
      <c r="E111" s="78" t="s">
        <v>22</v>
      </c>
      <c r="F111" s="78" t="s">
        <v>1072</v>
      </c>
      <c r="G111" s="79">
        <v>1317.6</v>
      </c>
      <c r="H111" s="80">
        <v>44</v>
      </c>
      <c r="I111" s="81">
        <v>89</v>
      </c>
      <c r="J111" s="80">
        <v>402</v>
      </c>
      <c r="K111" s="79">
        <v>529675.19999999995</v>
      </c>
      <c r="L111" s="82">
        <v>45572</v>
      </c>
      <c r="M111" s="80" t="str">
        <f t="shared" si="2"/>
        <v>Monitor</v>
      </c>
      <c r="N111" s="80" t="str">
        <f t="shared" si="3"/>
        <v>Premium</v>
      </c>
    </row>
    <row r="112" spans="1:14" ht="16.5" x14ac:dyDescent="0.2">
      <c r="A112" s="72" t="s">
        <v>253</v>
      </c>
      <c r="B112" s="83" t="s">
        <v>254</v>
      </c>
      <c r="C112" s="83" t="s">
        <v>30</v>
      </c>
      <c r="D112" s="83" t="s">
        <v>34</v>
      </c>
      <c r="E112" s="83" t="s">
        <v>26</v>
      </c>
      <c r="F112" s="83" t="s">
        <v>1072</v>
      </c>
      <c r="G112" s="84">
        <v>1243.23</v>
      </c>
      <c r="H112" s="85">
        <v>47</v>
      </c>
      <c r="I112" s="76">
        <v>60.9</v>
      </c>
      <c r="J112" s="85">
        <v>475</v>
      </c>
      <c r="K112" s="84">
        <v>590534.25</v>
      </c>
      <c r="L112" s="86">
        <v>45896</v>
      </c>
      <c r="M112" s="85" t="str">
        <f t="shared" si="2"/>
        <v>At Risk</v>
      </c>
      <c r="N112" s="85" t="str">
        <f t="shared" si="3"/>
        <v>Premium</v>
      </c>
    </row>
    <row r="113" spans="1:14" ht="16.5" x14ac:dyDescent="0.2">
      <c r="A113" s="126" t="s">
        <v>255</v>
      </c>
      <c r="B113" s="78" t="s">
        <v>256</v>
      </c>
      <c r="C113" s="78" t="s">
        <v>48</v>
      </c>
      <c r="D113" s="78" t="s">
        <v>17</v>
      </c>
      <c r="E113" s="78" t="s">
        <v>41</v>
      </c>
      <c r="F113" s="78" t="s">
        <v>1073</v>
      </c>
      <c r="G113" s="79">
        <v>66.05</v>
      </c>
      <c r="H113" s="80">
        <v>59</v>
      </c>
      <c r="I113" s="81">
        <v>67.3</v>
      </c>
      <c r="J113" s="80">
        <v>94</v>
      </c>
      <c r="K113" s="79">
        <v>6208.7</v>
      </c>
      <c r="L113" s="82">
        <v>45818</v>
      </c>
      <c r="M113" s="80" t="str">
        <f t="shared" si="2"/>
        <v>At Risk</v>
      </c>
      <c r="N113" s="80" t="str">
        <f t="shared" si="3"/>
        <v>Medium</v>
      </c>
    </row>
    <row r="114" spans="1:14" ht="16.5" x14ac:dyDescent="0.2">
      <c r="A114" s="72" t="s">
        <v>257</v>
      </c>
      <c r="B114" s="83" t="s">
        <v>258</v>
      </c>
      <c r="C114" s="83" t="s">
        <v>30</v>
      </c>
      <c r="D114" s="83" t="s">
        <v>34</v>
      </c>
      <c r="E114" s="83" t="s">
        <v>51</v>
      </c>
      <c r="F114" s="83" t="s">
        <v>1072</v>
      </c>
      <c r="G114" s="84">
        <v>1933.21</v>
      </c>
      <c r="H114" s="85">
        <v>10</v>
      </c>
      <c r="I114" s="76">
        <v>88.9</v>
      </c>
      <c r="J114" s="85">
        <v>125</v>
      </c>
      <c r="K114" s="84">
        <v>241651.25</v>
      </c>
      <c r="L114" s="86">
        <v>46105</v>
      </c>
      <c r="M114" s="85" t="str">
        <f t="shared" si="2"/>
        <v>Monitor</v>
      </c>
      <c r="N114" s="85" t="str">
        <f t="shared" si="3"/>
        <v>Premium</v>
      </c>
    </row>
    <row r="115" spans="1:14" ht="16.5" x14ac:dyDescent="0.2">
      <c r="A115" s="126" t="s">
        <v>259</v>
      </c>
      <c r="B115" s="78" t="s">
        <v>260</v>
      </c>
      <c r="C115" s="78" t="s">
        <v>16</v>
      </c>
      <c r="D115" s="78" t="s">
        <v>34</v>
      </c>
      <c r="E115" s="78" t="s">
        <v>26</v>
      </c>
      <c r="F115" s="78" t="s">
        <v>19</v>
      </c>
      <c r="G115" s="79">
        <v>248.34</v>
      </c>
      <c r="H115" s="80">
        <v>8</v>
      </c>
      <c r="I115" s="81">
        <v>75.5</v>
      </c>
      <c r="J115" s="80">
        <v>354</v>
      </c>
      <c r="K115" s="79">
        <v>87912.36</v>
      </c>
      <c r="L115" s="82">
        <v>45828</v>
      </c>
      <c r="M115" s="80" t="str">
        <f t="shared" si="2"/>
        <v>At Risk</v>
      </c>
      <c r="N115" s="80" t="str">
        <f t="shared" si="3"/>
        <v>Medium</v>
      </c>
    </row>
    <row r="116" spans="1:14" ht="16.5" x14ac:dyDescent="0.2">
      <c r="A116" s="72" t="s">
        <v>261</v>
      </c>
      <c r="B116" s="83" t="s">
        <v>262</v>
      </c>
      <c r="C116" s="83" t="s">
        <v>30</v>
      </c>
      <c r="D116" s="83" t="s">
        <v>17</v>
      </c>
      <c r="E116" s="83" t="s">
        <v>22</v>
      </c>
      <c r="F116" s="83" t="s">
        <v>1072</v>
      </c>
      <c r="G116" s="84">
        <v>1048.6600000000001</v>
      </c>
      <c r="H116" s="85">
        <v>40</v>
      </c>
      <c r="I116" s="76">
        <v>94.8</v>
      </c>
      <c r="J116" s="85">
        <v>297</v>
      </c>
      <c r="K116" s="84">
        <v>311452.02</v>
      </c>
      <c r="L116" s="86">
        <v>45963</v>
      </c>
      <c r="M116" s="85" t="str">
        <f t="shared" si="2"/>
        <v>OK</v>
      </c>
      <c r="N116" s="85" t="str">
        <f t="shared" si="3"/>
        <v>Premium</v>
      </c>
    </row>
    <row r="117" spans="1:14" ht="16.5" x14ac:dyDescent="0.2">
      <c r="A117" s="126" t="s">
        <v>263</v>
      </c>
      <c r="B117" s="78" t="s">
        <v>264</v>
      </c>
      <c r="C117" s="78" t="s">
        <v>16</v>
      </c>
      <c r="D117" s="78" t="s">
        <v>40</v>
      </c>
      <c r="E117" s="78" t="s">
        <v>51</v>
      </c>
      <c r="F117" s="78" t="s">
        <v>19</v>
      </c>
      <c r="G117" s="79">
        <v>732.04</v>
      </c>
      <c r="H117" s="80">
        <v>20</v>
      </c>
      <c r="I117" s="81">
        <v>84.2</v>
      </c>
      <c r="J117" s="80">
        <v>69</v>
      </c>
      <c r="K117" s="79">
        <v>50510.76</v>
      </c>
      <c r="L117" s="82">
        <v>45578</v>
      </c>
      <c r="M117" s="80" t="str">
        <f t="shared" si="2"/>
        <v>At Risk</v>
      </c>
      <c r="N117" s="80" t="str">
        <f t="shared" si="3"/>
        <v>High</v>
      </c>
    </row>
    <row r="118" spans="1:14" ht="16.5" x14ac:dyDescent="0.2">
      <c r="A118" s="72" t="s">
        <v>265</v>
      </c>
      <c r="B118" s="83" t="s">
        <v>266</v>
      </c>
      <c r="C118" s="83" t="s">
        <v>30</v>
      </c>
      <c r="D118" s="83" t="s">
        <v>34</v>
      </c>
      <c r="E118" s="83" t="s">
        <v>58</v>
      </c>
      <c r="F118" s="83" t="s">
        <v>1072</v>
      </c>
      <c r="G118" s="84">
        <v>374.95</v>
      </c>
      <c r="H118" s="85">
        <v>57</v>
      </c>
      <c r="I118" s="76">
        <v>79.2</v>
      </c>
      <c r="J118" s="85">
        <v>208</v>
      </c>
      <c r="K118" s="84">
        <v>77989.600000000006</v>
      </c>
      <c r="L118" s="86">
        <v>46221</v>
      </c>
      <c r="M118" s="85" t="str">
        <f t="shared" si="2"/>
        <v>At Risk</v>
      </c>
      <c r="N118" s="85" t="str">
        <f t="shared" si="3"/>
        <v>High</v>
      </c>
    </row>
    <row r="119" spans="1:14" ht="16.5" x14ac:dyDescent="0.2">
      <c r="A119" s="126" t="s">
        <v>267</v>
      </c>
      <c r="B119" s="78" t="s">
        <v>268</v>
      </c>
      <c r="C119" s="78" t="s">
        <v>39</v>
      </c>
      <c r="D119" s="78" t="s">
        <v>40</v>
      </c>
      <c r="E119" s="78" t="s">
        <v>45</v>
      </c>
      <c r="F119" s="78" t="s">
        <v>42</v>
      </c>
      <c r="G119" s="79">
        <v>4461.4399999999996</v>
      </c>
      <c r="H119" s="80">
        <v>42</v>
      </c>
      <c r="I119" s="81">
        <v>59.5</v>
      </c>
      <c r="J119" s="80">
        <v>260</v>
      </c>
      <c r="K119" s="79">
        <v>1159974.3999999999</v>
      </c>
      <c r="L119" s="82">
        <v>46127</v>
      </c>
      <c r="M119" s="80" t="str">
        <f t="shared" si="2"/>
        <v>At Risk</v>
      </c>
      <c r="N119" s="80" t="str">
        <f t="shared" si="3"/>
        <v>Premium</v>
      </c>
    </row>
    <row r="120" spans="1:14" ht="16.5" x14ac:dyDescent="0.2">
      <c r="A120" s="72" t="s">
        <v>269</v>
      </c>
      <c r="B120" s="83" t="s">
        <v>270</v>
      </c>
      <c r="C120" s="83" t="s">
        <v>30</v>
      </c>
      <c r="D120" s="83" t="s">
        <v>17</v>
      </c>
      <c r="E120" s="83" t="s">
        <v>51</v>
      </c>
      <c r="F120" s="83" t="s">
        <v>1072</v>
      </c>
      <c r="G120" s="84">
        <v>1911</v>
      </c>
      <c r="H120" s="85">
        <v>55</v>
      </c>
      <c r="I120" s="76">
        <v>71.3</v>
      </c>
      <c r="J120" s="85">
        <v>361</v>
      </c>
      <c r="K120" s="84">
        <v>689871</v>
      </c>
      <c r="L120" s="86">
        <v>46044</v>
      </c>
      <c r="M120" s="85" t="str">
        <f t="shared" si="2"/>
        <v>At Risk</v>
      </c>
      <c r="N120" s="85" t="str">
        <f t="shared" si="3"/>
        <v>Premium</v>
      </c>
    </row>
    <row r="121" spans="1:14" ht="16.5" x14ac:dyDescent="0.2">
      <c r="A121" s="126" t="s">
        <v>271</v>
      </c>
      <c r="B121" s="78" t="s">
        <v>272</v>
      </c>
      <c r="C121" s="78" t="s">
        <v>16</v>
      </c>
      <c r="D121" s="78" t="s">
        <v>40</v>
      </c>
      <c r="E121" s="78" t="s">
        <v>22</v>
      </c>
      <c r="F121" s="78" t="s">
        <v>19</v>
      </c>
      <c r="G121" s="79">
        <v>776.16</v>
      </c>
      <c r="H121" s="80">
        <v>55</v>
      </c>
      <c r="I121" s="81">
        <v>92.1</v>
      </c>
      <c r="J121" s="80">
        <v>56</v>
      </c>
      <c r="K121" s="79">
        <v>43464.959999999999</v>
      </c>
      <c r="L121" s="82">
        <v>45726</v>
      </c>
      <c r="M121" s="80" t="str">
        <f t="shared" si="2"/>
        <v>OK</v>
      </c>
      <c r="N121" s="80" t="str">
        <f t="shared" si="3"/>
        <v>High</v>
      </c>
    </row>
    <row r="122" spans="1:14" ht="16.5" x14ac:dyDescent="0.2">
      <c r="A122" s="72" t="s">
        <v>273</v>
      </c>
      <c r="B122" s="83" t="s">
        <v>274</v>
      </c>
      <c r="C122" s="83" t="s">
        <v>16</v>
      </c>
      <c r="D122" s="83" t="s">
        <v>34</v>
      </c>
      <c r="E122" s="83" t="s">
        <v>22</v>
      </c>
      <c r="F122" s="83" t="s">
        <v>19</v>
      </c>
      <c r="G122" s="84">
        <v>791.62</v>
      </c>
      <c r="H122" s="85">
        <v>51</v>
      </c>
      <c r="I122" s="76">
        <v>80.400000000000006</v>
      </c>
      <c r="J122" s="85">
        <v>45</v>
      </c>
      <c r="K122" s="84">
        <v>35622.9</v>
      </c>
      <c r="L122" s="86">
        <v>45716</v>
      </c>
      <c r="M122" s="85" t="str">
        <f t="shared" si="2"/>
        <v>At Risk</v>
      </c>
      <c r="N122" s="85" t="str">
        <f t="shared" si="3"/>
        <v>High</v>
      </c>
    </row>
    <row r="123" spans="1:14" ht="16.5" x14ac:dyDescent="0.2">
      <c r="A123" s="126" t="s">
        <v>275</v>
      </c>
      <c r="B123" s="78" t="s">
        <v>276</v>
      </c>
      <c r="C123" s="78" t="s">
        <v>48</v>
      </c>
      <c r="D123" s="78" t="s">
        <v>40</v>
      </c>
      <c r="E123" s="78" t="s">
        <v>45</v>
      </c>
      <c r="F123" s="78" t="s">
        <v>1073</v>
      </c>
      <c r="G123" s="79">
        <v>95.69</v>
      </c>
      <c r="H123" s="80">
        <v>39</v>
      </c>
      <c r="I123" s="81">
        <v>55.1</v>
      </c>
      <c r="J123" s="80">
        <v>449</v>
      </c>
      <c r="K123" s="79">
        <v>42964.81</v>
      </c>
      <c r="L123" s="82">
        <v>45588</v>
      </c>
      <c r="M123" s="80" t="str">
        <f t="shared" si="2"/>
        <v>At Risk</v>
      </c>
      <c r="N123" s="80" t="str">
        <f t="shared" si="3"/>
        <v>Medium</v>
      </c>
    </row>
    <row r="124" spans="1:14" ht="16.5" x14ac:dyDescent="0.2">
      <c r="A124" s="72" t="s">
        <v>277</v>
      </c>
      <c r="B124" s="83" t="s">
        <v>278</v>
      </c>
      <c r="C124" s="83" t="s">
        <v>30</v>
      </c>
      <c r="D124" s="83" t="s">
        <v>34</v>
      </c>
      <c r="E124" s="83" t="s">
        <v>58</v>
      </c>
      <c r="F124" s="83" t="s">
        <v>1072</v>
      </c>
      <c r="G124" s="84">
        <v>1389.9</v>
      </c>
      <c r="H124" s="85">
        <v>2</v>
      </c>
      <c r="I124" s="76">
        <v>60.9</v>
      </c>
      <c r="J124" s="85">
        <v>193</v>
      </c>
      <c r="K124" s="84">
        <v>268250.7</v>
      </c>
      <c r="L124" s="86">
        <v>45779</v>
      </c>
      <c r="M124" s="85" t="str">
        <f t="shared" si="2"/>
        <v>At Risk</v>
      </c>
      <c r="N124" s="85" t="str">
        <f t="shared" si="3"/>
        <v>Premium</v>
      </c>
    </row>
    <row r="125" spans="1:14" ht="16.5" x14ac:dyDescent="0.2">
      <c r="A125" s="126" t="s">
        <v>279</v>
      </c>
      <c r="B125" s="78" t="s">
        <v>280</v>
      </c>
      <c r="C125" s="78" t="s">
        <v>16</v>
      </c>
      <c r="D125" s="78" t="s">
        <v>17</v>
      </c>
      <c r="E125" s="78" t="s">
        <v>26</v>
      </c>
      <c r="F125" s="78" t="s">
        <v>19</v>
      </c>
      <c r="G125" s="79">
        <v>145.07</v>
      </c>
      <c r="H125" s="80">
        <v>27</v>
      </c>
      <c r="I125" s="81">
        <v>78.7</v>
      </c>
      <c r="J125" s="80">
        <v>391</v>
      </c>
      <c r="K125" s="79">
        <v>56722.37</v>
      </c>
      <c r="L125" s="82">
        <v>45422</v>
      </c>
      <c r="M125" s="80" t="str">
        <f t="shared" si="2"/>
        <v>At Risk</v>
      </c>
      <c r="N125" s="80" t="str">
        <f t="shared" si="3"/>
        <v>Medium</v>
      </c>
    </row>
    <row r="126" spans="1:14" ht="16.5" x14ac:dyDescent="0.2">
      <c r="A126" s="72" t="s">
        <v>281</v>
      </c>
      <c r="B126" s="83" t="s">
        <v>282</v>
      </c>
      <c r="C126" s="83" t="s">
        <v>30</v>
      </c>
      <c r="D126" s="83" t="s">
        <v>40</v>
      </c>
      <c r="E126" s="83" t="s">
        <v>58</v>
      </c>
      <c r="F126" s="83" t="s">
        <v>1072</v>
      </c>
      <c r="G126" s="84">
        <v>1013.61</v>
      </c>
      <c r="H126" s="85">
        <v>15</v>
      </c>
      <c r="I126" s="76">
        <v>97.5</v>
      </c>
      <c r="J126" s="85">
        <v>32</v>
      </c>
      <c r="K126" s="84">
        <v>32435.52</v>
      </c>
      <c r="L126" s="86">
        <v>46359</v>
      </c>
      <c r="M126" s="85" t="str">
        <f t="shared" si="2"/>
        <v>OK</v>
      </c>
      <c r="N126" s="85" t="str">
        <f t="shared" si="3"/>
        <v>Premium</v>
      </c>
    </row>
    <row r="127" spans="1:14" ht="16.5" x14ac:dyDescent="0.2">
      <c r="A127" s="126" t="s">
        <v>283</v>
      </c>
      <c r="B127" s="78" t="s">
        <v>284</v>
      </c>
      <c r="C127" s="78" t="s">
        <v>16</v>
      </c>
      <c r="D127" s="78" t="s">
        <v>17</v>
      </c>
      <c r="E127" s="78" t="s">
        <v>51</v>
      </c>
      <c r="F127" s="78" t="s">
        <v>19</v>
      </c>
      <c r="G127" s="79">
        <v>685.47</v>
      </c>
      <c r="H127" s="80">
        <v>28</v>
      </c>
      <c r="I127" s="81">
        <v>85.9</v>
      </c>
      <c r="J127" s="80">
        <v>261</v>
      </c>
      <c r="K127" s="79">
        <v>178907.67</v>
      </c>
      <c r="L127" s="82">
        <v>46200</v>
      </c>
      <c r="M127" s="80" t="str">
        <f t="shared" si="2"/>
        <v>Monitor</v>
      </c>
      <c r="N127" s="80" t="str">
        <f t="shared" si="3"/>
        <v>High</v>
      </c>
    </row>
    <row r="128" spans="1:14" ht="16.5" x14ac:dyDescent="0.2">
      <c r="A128" s="72" t="s">
        <v>285</v>
      </c>
      <c r="B128" s="83" t="s">
        <v>286</v>
      </c>
      <c r="C128" s="83" t="s">
        <v>30</v>
      </c>
      <c r="D128" s="83" t="s">
        <v>40</v>
      </c>
      <c r="E128" s="83" t="s">
        <v>58</v>
      </c>
      <c r="F128" s="83" t="s">
        <v>1072</v>
      </c>
      <c r="G128" s="84">
        <v>427.14</v>
      </c>
      <c r="H128" s="85">
        <v>40</v>
      </c>
      <c r="I128" s="76">
        <v>83.5</v>
      </c>
      <c r="J128" s="85">
        <v>290</v>
      </c>
      <c r="K128" s="84">
        <v>123870.6</v>
      </c>
      <c r="L128" s="86">
        <v>45957</v>
      </c>
      <c r="M128" s="85" t="str">
        <f t="shared" si="2"/>
        <v>At Risk</v>
      </c>
      <c r="N128" s="85" t="str">
        <f t="shared" si="3"/>
        <v>High</v>
      </c>
    </row>
    <row r="129" spans="1:14" ht="16.5" x14ac:dyDescent="0.2">
      <c r="A129" s="126" t="s">
        <v>287</v>
      </c>
      <c r="B129" s="78" t="s">
        <v>288</v>
      </c>
      <c r="C129" s="78" t="s">
        <v>25</v>
      </c>
      <c r="D129" s="78" t="s">
        <v>17</v>
      </c>
      <c r="E129" s="78" t="s">
        <v>31</v>
      </c>
      <c r="F129" s="78" t="s">
        <v>27</v>
      </c>
      <c r="G129" s="79">
        <v>9.74</v>
      </c>
      <c r="H129" s="80">
        <v>45</v>
      </c>
      <c r="I129" s="81">
        <v>60.1</v>
      </c>
      <c r="J129" s="80">
        <v>345</v>
      </c>
      <c r="K129" s="79">
        <v>3360.3</v>
      </c>
      <c r="L129" s="82">
        <v>45732</v>
      </c>
      <c r="M129" s="80" t="str">
        <f t="shared" si="2"/>
        <v>At Risk</v>
      </c>
      <c r="N129" s="80" t="str">
        <f t="shared" si="3"/>
        <v>Low</v>
      </c>
    </row>
    <row r="130" spans="1:14" ht="16.5" x14ac:dyDescent="0.2">
      <c r="A130" s="72" t="s">
        <v>289</v>
      </c>
      <c r="B130" s="83" t="s">
        <v>290</v>
      </c>
      <c r="C130" s="83" t="s">
        <v>48</v>
      </c>
      <c r="D130" s="83" t="s">
        <v>40</v>
      </c>
      <c r="E130" s="83" t="s">
        <v>51</v>
      </c>
      <c r="F130" s="83" t="s">
        <v>1073</v>
      </c>
      <c r="G130" s="84">
        <v>50.85</v>
      </c>
      <c r="H130" s="85">
        <v>47</v>
      </c>
      <c r="I130" s="76">
        <v>59.3</v>
      </c>
      <c r="J130" s="85">
        <v>228</v>
      </c>
      <c r="K130" s="84">
        <v>11593.8</v>
      </c>
      <c r="L130" s="86">
        <v>45932</v>
      </c>
      <c r="M130" s="85" t="str">
        <f t="shared" ref="M130:M193" si="4">IF(I130&lt;85,"At Risk",IF(I130&lt;92,"Monitor","OK"))</f>
        <v>At Risk</v>
      </c>
      <c r="N130" s="85" t="str">
        <f t="shared" ref="N130:N193" si="5">IF(G130&lt;50,"Low",IF(G130&lt;250,"Medium",IF(G130&lt;1000,"High","Premium")))</f>
        <v>Medium</v>
      </c>
    </row>
    <row r="131" spans="1:14" ht="16.5" x14ac:dyDescent="0.2">
      <c r="A131" s="126" t="s">
        <v>291</v>
      </c>
      <c r="B131" s="78" t="s">
        <v>292</v>
      </c>
      <c r="C131" s="78" t="s">
        <v>48</v>
      </c>
      <c r="D131" s="78" t="s">
        <v>40</v>
      </c>
      <c r="E131" s="78" t="s">
        <v>51</v>
      </c>
      <c r="F131" s="78" t="s">
        <v>1073</v>
      </c>
      <c r="G131" s="79">
        <v>12.72</v>
      </c>
      <c r="H131" s="80">
        <v>54</v>
      </c>
      <c r="I131" s="81">
        <v>58.8</v>
      </c>
      <c r="J131" s="80">
        <v>231</v>
      </c>
      <c r="K131" s="79">
        <v>2938.32</v>
      </c>
      <c r="L131" s="82">
        <v>45489</v>
      </c>
      <c r="M131" s="80" t="str">
        <f t="shared" si="4"/>
        <v>At Risk</v>
      </c>
      <c r="N131" s="80" t="str">
        <f t="shared" si="5"/>
        <v>Low</v>
      </c>
    </row>
    <row r="132" spans="1:14" ht="16.5" x14ac:dyDescent="0.2">
      <c r="A132" s="72" t="s">
        <v>293</v>
      </c>
      <c r="B132" s="83" t="s">
        <v>294</v>
      </c>
      <c r="C132" s="83" t="s">
        <v>25</v>
      </c>
      <c r="D132" s="83" t="s">
        <v>17</v>
      </c>
      <c r="E132" s="83" t="s">
        <v>41</v>
      </c>
      <c r="F132" s="83" t="s">
        <v>27</v>
      </c>
      <c r="G132" s="84">
        <v>54.26</v>
      </c>
      <c r="H132" s="85">
        <v>27</v>
      </c>
      <c r="I132" s="76">
        <v>70.900000000000006</v>
      </c>
      <c r="J132" s="85">
        <v>350</v>
      </c>
      <c r="K132" s="84">
        <v>18991</v>
      </c>
      <c r="L132" s="86">
        <v>46158</v>
      </c>
      <c r="M132" s="85" t="str">
        <f t="shared" si="4"/>
        <v>At Risk</v>
      </c>
      <c r="N132" s="85" t="str">
        <f t="shared" si="5"/>
        <v>Medium</v>
      </c>
    </row>
    <row r="133" spans="1:14" ht="16.5" x14ac:dyDescent="0.2">
      <c r="A133" s="126" t="s">
        <v>295</v>
      </c>
      <c r="B133" s="78" t="s">
        <v>296</v>
      </c>
      <c r="C133" s="78" t="s">
        <v>25</v>
      </c>
      <c r="D133" s="78" t="s">
        <v>40</v>
      </c>
      <c r="E133" s="78" t="s">
        <v>58</v>
      </c>
      <c r="F133" s="78" t="s">
        <v>27</v>
      </c>
      <c r="G133" s="79">
        <v>47.08</v>
      </c>
      <c r="H133" s="80">
        <v>14</v>
      </c>
      <c r="I133" s="81">
        <v>62</v>
      </c>
      <c r="J133" s="80">
        <v>256</v>
      </c>
      <c r="K133" s="79">
        <v>12052.48</v>
      </c>
      <c r="L133" s="82">
        <v>45751</v>
      </c>
      <c r="M133" s="80" t="str">
        <f t="shared" si="4"/>
        <v>At Risk</v>
      </c>
      <c r="N133" s="80" t="str">
        <f t="shared" si="5"/>
        <v>Low</v>
      </c>
    </row>
    <row r="134" spans="1:14" ht="16.5" x14ac:dyDescent="0.2">
      <c r="A134" s="72" t="s">
        <v>297</v>
      </c>
      <c r="B134" s="83" t="s">
        <v>298</v>
      </c>
      <c r="C134" s="83" t="s">
        <v>25</v>
      </c>
      <c r="D134" s="83" t="s">
        <v>40</v>
      </c>
      <c r="E134" s="83" t="s">
        <v>18</v>
      </c>
      <c r="F134" s="83" t="s">
        <v>27</v>
      </c>
      <c r="G134" s="84">
        <v>46.78</v>
      </c>
      <c r="H134" s="85">
        <v>52</v>
      </c>
      <c r="I134" s="76">
        <v>74.3</v>
      </c>
      <c r="J134" s="85">
        <v>297</v>
      </c>
      <c r="K134" s="84">
        <v>13893.66</v>
      </c>
      <c r="L134" s="86">
        <v>45345</v>
      </c>
      <c r="M134" s="85" t="str">
        <f t="shared" si="4"/>
        <v>At Risk</v>
      </c>
      <c r="N134" s="85" t="str">
        <f t="shared" si="5"/>
        <v>Low</v>
      </c>
    </row>
    <row r="135" spans="1:14" ht="16.5" x14ac:dyDescent="0.2">
      <c r="A135" s="126" t="s">
        <v>299</v>
      </c>
      <c r="B135" s="78" t="s">
        <v>300</v>
      </c>
      <c r="C135" s="78" t="s">
        <v>16</v>
      </c>
      <c r="D135" s="78" t="s">
        <v>17</v>
      </c>
      <c r="E135" s="78" t="s">
        <v>18</v>
      </c>
      <c r="F135" s="78" t="s">
        <v>19</v>
      </c>
      <c r="G135" s="79">
        <v>741.15</v>
      </c>
      <c r="H135" s="80">
        <v>23</v>
      </c>
      <c r="I135" s="81">
        <v>55.3</v>
      </c>
      <c r="J135" s="80">
        <v>455</v>
      </c>
      <c r="K135" s="79">
        <v>337223.25</v>
      </c>
      <c r="L135" s="82">
        <v>45585</v>
      </c>
      <c r="M135" s="80" t="str">
        <f t="shared" si="4"/>
        <v>At Risk</v>
      </c>
      <c r="N135" s="80" t="str">
        <f t="shared" si="5"/>
        <v>High</v>
      </c>
    </row>
    <row r="136" spans="1:14" ht="16.5" x14ac:dyDescent="0.2">
      <c r="A136" s="72" t="s">
        <v>301</v>
      </c>
      <c r="B136" s="83" t="s">
        <v>302</v>
      </c>
      <c r="C136" s="83" t="s">
        <v>16</v>
      </c>
      <c r="D136" s="83" t="s">
        <v>17</v>
      </c>
      <c r="E136" s="83" t="s">
        <v>26</v>
      </c>
      <c r="F136" s="83" t="s">
        <v>19</v>
      </c>
      <c r="G136" s="84">
        <v>118.82</v>
      </c>
      <c r="H136" s="85">
        <v>34</v>
      </c>
      <c r="I136" s="76">
        <v>64.7</v>
      </c>
      <c r="J136" s="85">
        <v>224</v>
      </c>
      <c r="K136" s="84">
        <v>26615.68</v>
      </c>
      <c r="L136" s="86">
        <v>46221</v>
      </c>
      <c r="M136" s="85" t="str">
        <f t="shared" si="4"/>
        <v>At Risk</v>
      </c>
      <c r="N136" s="85" t="str">
        <f t="shared" si="5"/>
        <v>Medium</v>
      </c>
    </row>
    <row r="137" spans="1:14" ht="16.5" x14ac:dyDescent="0.2">
      <c r="A137" s="126" t="s">
        <v>303</v>
      </c>
      <c r="B137" s="78" t="s">
        <v>304</v>
      </c>
      <c r="C137" s="78" t="s">
        <v>30</v>
      </c>
      <c r="D137" s="78" t="s">
        <v>40</v>
      </c>
      <c r="E137" s="78" t="s">
        <v>41</v>
      </c>
      <c r="F137" s="78" t="s">
        <v>1072</v>
      </c>
      <c r="G137" s="79">
        <v>1598.3</v>
      </c>
      <c r="H137" s="80">
        <v>37</v>
      </c>
      <c r="I137" s="81">
        <v>81.8</v>
      </c>
      <c r="J137" s="80">
        <v>462</v>
      </c>
      <c r="K137" s="79">
        <v>738414.6</v>
      </c>
      <c r="L137" s="82">
        <v>45399</v>
      </c>
      <c r="M137" s="80" t="str">
        <f t="shared" si="4"/>
        <v>At Risk</v>
      </c>
      <c r="N137" s="80" t="str">
        <f t="shared" si="5"/>
        <v>Premium</v>
      </c>
    </row>
    <row r="138" spans="1:14" ht="16.5" x14ac:dyDescent="0.2">
      <c r="A138" s="72" t="s">
        <v>305</v>
      </c>
      <c r="B138" s="83" t="s">
        <v>306</v>
      </c>
      <c r="C138" s="83" t="s">
        <v>25</v>
      </c>
      <c r="D138" s="83" t="s">
        <v>17</v>
      </c>
      <c r="E138" s="83" t="s">
        <v>58</v>
      </c>
      <c r="F138" s="83" t="s">
        <v>27</v>
      </c>
      <c r="G138" s="84">
        <v>23.22</v>
      </c>
      <c r="H138" s="85">
        <v>43</v>
      </c>
      <c r="I138" s="76">
        <v>74.099999999999994</v>
      </c>
      <c r="J138" s="85">
        <v>320</v>
      </c>
      <c r="K138" s="84">
        <v>7430.4</v>
      </c>
      <c r="L138" s="86">
        <v>46197</v>
      </c>
      <c r="M138" s="85" t="str">
        <f t="shared" si="4"/>
        <v>At Risk</v>
      </c>
      <c r="N138" s="85" t="str">
        <f t="shared" si="5"/>
        <v>Low</v>
      </c>
    </row>
    <row r="139" spans="1:14" ht="16.5" x14ac:dyDescent="0.2">
      <c r="A139" s="126" t="s">
        <v>307</v>
      </c>
      <c r="B139" s="78" t="s">
        <v>308</v>
      </c>
      <c r="C139" s="78" t="s">
        <v>48</v>
      </c>
      <c r="D139" s="78" t="s">
        <v>34</v>
      </c>
      <c r="E139" s="78" t="s">
        <v>58</v>
      </c>
      <c r="F139" s="78" t="s">
        <v>1073</v>
      </c>
      <c r="G139" s="79">
        <v>44.69</v>
      </c>
      <c r="H139" s="80">
        <v>8</v>
      </c>
      <c r="I139" s="81">
        <v>67.7</v>
      </c>
      <c r="J139" s="80">
        <v>357</v>
      </c>
      <c r="K139" s="79">
        <v>15954.33</v>
      </c>
      <c r="L139" s="82">
        <v>46288</v>
      </c>
      <c r="M139" s="80" t="str">
        <f t="shared" si="4"/>
        <v>At Risk</v>
      </c>
      <c r="N139" s="80" t="str">
        <f t="shared" si="5"/>
        <v>Low</v>
      </c>
    </row>
    <row r="140" spans="1:14" ht="16.5" x14ac:dyDescent="0.2">
      <c r="A140" s="72" t="s">
        <v>309</v>
      </c>
      <c r="B140" s="83" t="s">
        <v>310</v>
      </c>
      <c r="C140" s="83" t="s">
        <v>16</v>
      </c>
      <c r="D140" s="83" t="s">
        <v>17</v>
      </c>
      <c r="E140" s="83" t="s">
        <v>26</v>
      </c>
      <c r="F140" s="83" t="s">
        <v>19</v>
      </c>
      <c r="G140" s="84">
        <v>55.77</v>
      </c>
      <c r="H140" s="85">
        <v>20</v>
      </c>
      <c r="I140" s="76">
        <v>97.5</v>
      </c>
      <c r="J140" s="85">
        <v>402</v>
      </c>
      <c r="K140" s="84">
        <v>22419.54</v>
      </c>
      <c r="L140" s="86">
        <v>45573</v>
      </c>
      <c r="M140" s="85" t="str">
        <f t="shared" si="4"/>
        <v>OK</v>
      </c>
      <c r="N140" s="85" t="str">
        <f t="shared" si="5"/>
        <v>Medium</v>
      </c>
    </row>
    <row r="141" spans="1:14" ht="16.5" x14ac:dyDescent="0.2">
      <c r="A141" s="126" t="s">
        <v>311</v>
      </c>
      <c r="B141" s="78" t="s">
        <v>312</v>
      </c>
      <c r="C141" s="78" t="s">
        <v>30</v>
      </c>
      <c r="D141" s="78" t="s">
        <v>17</v>
      </c>
      <c r="E141" s="78" t="s">
        <v>51</v>
      </c>
      <c r="F141" s="78" t="s">
        <v>1072</v>
      </c>
      <c r="G141" s="79">
        <v>1544.63</v>
      </c>
      <c r="H141" s="80">
        <v>12</v>
      </c>
      <c r="I141" s="81">
        <v>60.8</v>
      </c>
      <c r="J141" s="80">
        <v>282</v>
      </c>
      <c r="K141" s="79">
        <v>435585.66</v>
      </c>
      <c r="L141" s="82">
        <v>45763</v>
      </c>
      <c r="M141" s="80" t="str">
        <f t="shared" si="4"/>
        <v>At Risk</v>
      </c>
      <c r="N141" s="80" t="str">
        <f t="shared" si="5"/>
        <v>Premium</v>
      </c>
    </row>
    <row r="142" spans="1:14" ht="16.5" x14ac:dyDescent="0.2">
      <c r="A142" s="72" t="s">
        <v>313</v>
      </c>
      <c r="B142" s="83" t="s">
        <v>314</v>
      </c>
      <c r="C142" s="83" t="s">
        <v>30</v>
      </c>
      <c r="D142" s="83" t="s">
        <v>17</v>
      </c>
      <c r="E142" s="83" t="s">
        <v>26</v>
      </c>
      <c r="F142" s="83" t="s">
        <v>1072</v>
      </c>
      <c r="G142" s="84">
        <v>985.2</v>
      </c>
      <c r="H142" s="85">
        <v>30</v>
      </c>
      <c r="I142" s="76">
        <v>96.5</v>
      </c>
      <c r="J142" s="85">
        <v>451</v>
      </c>
      <c r="K142" s="84">
        <v>444325.2</v>
      </c>
      <c r="L142" s="86">
        <v>45933</v>
      </c>
      <c r="M142" s="85" t="str">
        <f t="shared" si="4"/>
        <v>OK</v>
      </c>
      <c r="N142" s="85" t="str">
        <f t="shared" si="5"/>
        <v>High</v>
      </c>
    </row>
    <row r="143" spans="1:14" ht="16.5" x14ac:dyDescent="0.2">
      <c r="A143" s="126" t="s">
        <v>315</v>
      </c>
      <c r="B143" s="78" t="s">
        <v>316</v>
      </c>
      <c r="C143" s="78" t="s">
        <v>25</v>
      </c>
      <c r="D143" s="78" t="s">
        <v>40</v>
      </c>
      <c r="E143" s="78" t="s">
        <v>31</v>
      </c>
      <c r="F143" s="78" t="s">
        <v>27</v>
      </c>
      <c r="G143" s="79">
        <v>24.58</v>
      </c>
      <c r="H143" s="80">
        <v>26</v>
      </c>
      <c r="I143" s="81">
        <v>55.9</v>
      </c>
      <c r="J143" s="80">
        <v>176</v>
      </c>
      <c r="K143" s="79">
        <v>4326.08</v>
      </c>
      <c r="L143" s="82">
        <v>45643</v>
      </c>
      <c r="M143" s="80" t="str">
        <f t="shared" si="4"/>
        <v>At Risk</v>
      </c>
      <c r="N143" s="80" t="str">
        <f t="shared" si="5"/>
        <v>Low</v>
      </c>
    </row>
    <row r="144" spans="1:14" ht="16.5" x14ac:dyDescent="0.2">
      <c r="A144" s="72" t="s">
        <v>317</v>
      </c>
      <c r="B144" s="83" t="s">
        <v>318</v>
      </c>
      <c r="C144" s="83" t="s">
        <v>30</v>
      </c>
      <c r="D144" s="83" t="s">
        <v>17</v>
      </c>
      <c r="E144" s="83" t="s">
        <v>58</v>
      </c>
      <c r="F144" s="83" t="s">
        <v>1072</v>
      </c>
      <c r="G144" s="84">
        <v>637.97</v>
      </c>
      <c r="H144" s="85">
        <v>38</v>
      </c>
      <c r="I144" s="76">
        <v>73</v>
      </c>
      <c r="J144" s="85">
        <v>50</v>
      </c>
      <c r="K144" s="84">
        <v>31898.5</v>
      </c>
      <c r="L144" s="86">
        <v>46102</v>
      </c>
      <c r="M144" s="85" t="str">
        <f t="shared" si="4"/>
        <v>At Risk</v>
      </c>
      <c r="N144" s="85" t="str">
        <f t="shared" si="5"/>
        <v>High</v>
      </c>
    </row>
    <row r="145" spans="1:14" ht="16.5" x14ac:dyDescent="0.2">
      <c r="A145" s="126" t="s">
        <v>319</v>
      </c>
      <c r="B145" s="78" t="s">
        <v>320</v>
      </c>
      <c r="C145" s="78" t="s">
        <v>48</v>
      </c>
      <c r="D145" s="78" t="s">
        <v>40</v>
      </c>
      <c r="E145" s="78" t="s">
        <v>45</v>
      </c>
      <c r="F145" s="78" t="s">
        <v>1073</v>
      </c>
      <c r="G145" s="79">
        <v>13.78</v>
      </c>
      <c r="H145" s="80">
        <v>41</v>
      </c>
      <c r="I145" s="81">
        <v>60.1</v>
      </c>
      <c r="J145" s="80">
        <v>271</v>
      </c>
      <c r="K145" s="79">
        <v>3734.38</v>
      </c>
      <c r="L145" s="82">
        <v>45689</v>
      </c>
      <c r="M145" s="80" t="str">
        <f t="shared" si="4"/>
        <v>At Risk</v>
      </c>
      <c r="N145" s="80" t="str">
        <f t="shared" si="5"/>
        <v>Low</v>
      </c>
    </row>
    <row r="146" spans="1:14" ht="16.5" x14ac:dyDescent="0.2">
      <c r="A146" s="72" t="s">
        <v>321</v>
      </c>
      <c r="B146" s="83" t="s">
        <v>322</v>
      </c>
      <c r="C146" s="83" t="s">
        <v>48</v>
      </c>
      <c r="D146" s="83" t="s">
        <v>17</v>
      </c>
      <c r="E146" s="83" t="s">
        <v>45</v>
      </c>
      <c r="F146" s="83" t="s">
        <v>1073</v>
      </c>
      <c r="G146" s="84">
        <v>34.44</v>
      </c>
      <c r="H146" s="85">
        <v>12</v>
      </c>
      <c r="I146" s="76">
        <v>82.1</v>
      </c>
      <c r="J146" s="85">
        <v>399</v>
      </c>
      <c r="K146" s="84">
        <v>13741.56</v>
      </c>
      <c r="L146" s="86">
        <v>45446</v>
      </c>
      <c r="M146" s="85" t="str">
        <f t="shared" si="4"/>
        <v>At Risk</v>
      </c>
      <c r="N146" s="85" t="str">
        <f t="shared" si="5"/>
        <v>Low</v>
      </c>
    </row>
    <row r="147" spans="1:14" ht="16.5" x14ac:dyDescent="0.2">
      <c r="A147" s="126" t="s">
        <v>323</v>
      </c>
      <c r="B147" s="78" t="s">
        <v>324</v>
      </c>
      <c r="C147" s="78" t="s">
        <v>39</v>
      </c>
      <c r="D147" s="78" t="s">
        <v>34</v>
      </c>
      <c r="E147" s="78" t="s">
        <v>51</v>
      </c>
      <c r="F147" s="78" t="s">
        <v>42</v>
      </c>
      <c r="G147" s="79">
        <v>3501.33</v>
      </c>
      <c r="H147" s="80">
        <v>57</v>
      </c>
      <c r="I147" s="81">
        <v>80.400000000000006</v>
      </c>
      <c r="J147" s="80">
        <v>335</v>
      </c>
      <c r="K147" s="79">
        <v>1172945.55</v>
      </c>
      <c r="L147" s="82">
        <v>45953</v>
      </c>
      <c r="M147" s="80" t="str">
        <f t="shared" si="4"/>
        <v>At Risk</v>
      </c>
      <c r="N147" s="80" t="str">
        <f t="shared" si="5"/>
        <v>Premium</v>
      </c>
    </row>
    <row r="148" spans="1:14" ht="16.5" x14ac:dyDescent="0.2">
      <c r="A148" s="72" t="s">
        <v>325</v>
      </c>
      <c r="B148" s="83" t="s">
        <v>326</v>
      </c>
      <c r="C148" s="83" t="s">
        <v>39</v>
      </c>
      <c r="D148" s="83" t="s">
        <v>17</v>
      </c>
      <c r="E148" s="83" t="s">
        <v>51</v>
      </c>
      <c r="F148" s="83" t="s">
        <v>42</v>
      </c>
      <c r="G148" s="84">
        <v>3267.51</v>
      </c>
      <c r="H148" s="85">
        <v>51</v>
      </c>
      <c r="I148" s="76">
        <v>67.400000000000006</v>
      </c>
      <c r="J148" s="85">
        <v>38</v>
      </c>
      <c r="K148" s="84">
        <v>124165.38</v>
      </c>
      <c r="L148" s="86">
        <v>46012</v>
      </c>
      <c r="M148" s="85" t="str">
        <f t="shared" si="4"/>
        <v>At Risk</v>
      </c>
      <c r="N148" s="85" t="str">
        <f t="shared" si="5"/>
        <v>Premium</v>
      </c>
    </row>
    <row r="149" spans="1:14" ht="16.5" x14ac:dyDescent="0.2">
      <c r="A149" s="126" t="s">
        <v>327</v>
      </c>
      <c r="B149" s="78" t="s">
        <v>328</v>
      </c>
      <c r="C149" s="78" t="s">
        <v>30</v>
      </c>
      <c r="D149" s="78" t="s">
        <v>40</v>
      </c>
      <c r="E149" s="78" t="s">
        <v>26</v>
      </c>
      <c r="F149" s="78" t="s">
        <v>1072</v>
      </c>
      <c r="G149" s="79">
        <v>302.39999999999998</v>
      </c>
      <c r="H149" s="80">
        <v>54</v>
      </c>
      <c r="I149" s="81">
        <v>67.900000000000006</v>
      </c>
      <c r="J149" s="80">
        <v>340</v>
      </c>
      <c r="K149" s="79">
        <v>102816</v>
      </c>
      <c r="L149" s="82">
        <v>45476</v>
      </c>
      <c r="M149" s="80" t="str">
        <f t="shared" si="4"/>
        <v>At Risk</v>
      </c>
      <c r="N149" s="80" t="str">
        <f t="shared" si="5"/>
        <v>High</v>
      </c>
    </row>
    <row r="150" spans="1:14" ht="16.5" x14ac:dyDescent="0.2">
      <c r="A150" s="72" t="s">
        <v>329</v>
      </c>
      <c r="B150" s="83" t="s">
        <v>330</v>
      </c>
      <c r="C150" s="83" t="s">
        <v>25</v>
      </c>
      <c r="D150" s="83" t="s">
        <v>40</v>
      </c>
      <c r="E150" s="83" t="s">
        <v>26</v>
      </c>
      <c r="F150" s="83" t="s">
        <v>27</v>
      </c>
      <c r="G150" s="84">
        <v>37.08</v>
      </c>
      <c r="H150" s="85">
        <v>52</v>
      </c>
      <c r="I150" s="76">
        <v>80.7</v>
      </c>
      <c r="J150" s="85">
        <v>106</v>
      </c>
      <c r="K150" s="84">
        <v>3930.48</v>
      </c>
      <c r="L150" s="86">
        <v>45950</v>
      </c>
      <c r="M150" s="85" t="str">
        <f t="shared" si="4"/>
        <v>At Risk</v>
      </c>
      <c r="N150" s="85" t="str">
        <f t="shared" si="5"/>
        <v>Low</v>
      </c>
    </row>
    <row r="151" spans="1:14" ht="16.5" x14ac:dyDescent="0.2">
      <c r="A151" s="126" t="s">
        <v>331</v>
      </c>
      <c r="B151" s="78" t="s">
        <v>332</v>
      </c>
      <c r="C151" s="78" t="s">
        <v>25</v>
      </c>
      <c r="D151" s="78" t="s">
        <v>17</v>
      </c>
      <c r="E151" s="78" t="s">
        <v>26</v>
      </c>
      <c r="F151" s="78" t="s">
        <v>27</v>
      </c>
      <c r="G151" s="79">
        <v>37.14</v>
      </c>
      <c r="H151" s="80">
        <v>52</v>
      </c>
      <c r="I151" s="81">
        <v>95.5</v>
      </c>
      <c r="J151" s="80">
        <v>185</v>
      </c>
      <c r="K151" s="79">
        <v>6870.9</v>
      </c>
      <c r="L151" s="82">
        <v>45464</v>
      </c>
      <c r="M151" s="80" t="str">
        <f t="shared" si="4"/>
        <v>OK</v>
      </c>
      <c r="N151" s="80" t="str">
        <f t="shared" si="5"/>
        <v>Low</v>
      </c>
    </row>
    <row r="152" spans="1:14" ht="16.5" x14ac:dyDescent="0.2">
      <c r="A152" s="72" t="s">
        <v>333</v>
      </c>
      <c r="B152" s="83" t="s">
        <v>334</v>
      </c>
      <c r="C152" s="83" t="s">
        <v>16</v>
      </c>
      <c r="D152" s="83" t="s">
        <v>17</v>
      </c>
      <c r="E152" s="83" t="s">
        <v>51</v>
      </c>
      <c r="F152" s="83" t="s">
        <v>19</v>
      </c>
      <c r="G152" s="84">
        <v>793.24</v>
      </c>
      <c r="H152" s="85">
        <v>34</v>
      </c>
      <c r="I152" s="76">
        <v>78.5</v>
      </c>
      <c r="J152" s="85">
        <v>91</v>
      </c>
      <c r="K152" s="84">
        <v>72184.84</v>
      </c>
      <c r="L152" s="86">
        <v>46037</v>
      </c>
      <c r="M152" s="85" t="str">
        <f t="shared" si="4"/>
        <v>At Risk</v>
      </c>
      <c r="N152" s="85" t="str">
        <f t="shared" si="5"/>
        <v>High</v>
      </c>
    </row>
    <row r="153" spans="1:14" ht="16.5" x14ac:dyDescent="0.2">
      <c r="A153" s="126" t="s">
        <v>335</v>
      </c>
      <c r="B153" s="78" t="s">
        <v>336</v>
      </c>
      <c r="C153" s="78" t="s">
        <v>39</v>
      </c>
      <c r="D153" s="78" t="s">
        <v>40</v>
      </c>
      <c r="E153" s="78" t="s">
        <v>41</v>
      </c>
      <c r="F153" s="78" t="s">
        <v>42</v>
      </c>
      <c r="G153" s="79">
        <v>3490.82</v>
      </c>
      <c r="H153" s="80">
        <v>4</v>
      </c>
      <c r="I153" s="81">
        <v>90.5</v>
      </c>
      <c r="J153" s="80">
        <v>341</v>
      </c>
      <c r="K153" s="79">
        <v>1190369.6200000001</v>
      </c>
      <c r="L153" s="82">
        <v>45977</v>
      </c>
      <c r="M153" s="80" t="str">
        <f t="shared" si="4"/>
        <v>Monitor</v>
      </c>
      <c r="N153" s="80" t="str">
        <f t="shared" si="5"/>
        <v>Premium</v>
      </c>
    </row>
    <row r="154" spans="1:14" ht="16.5" x14ac:dyDescent="0.2">
      <c r="A154" s="72" t="s">
        <v>337</v>
      </c>
      <c r="B154" s="83" t="s">
        <v>338</v>
      </c>
      <c r="C154" s="83" t="s">
        <v>16</v>
      </c>
      <c r="D154" s="83" t="s">
        <v>40</v>
      </c>
      <c r="E154" s="83" t="s">
        <v>31</v>
      </c>
      <c r="F154" s="83" t="s">
        <v>19</v>
      </c>
      <c r="G154" s="84">
        <v>263.11</v>
      </c>
      <c r="H154" s="85">
        <v>47</v>
      </c>
      <c r="I154" s="76">
        <v>93.3</v>
      </c>
      <c r="J154" s="85">
        <v>474</v>
      </c>
      <c r="K154" s="84">
        <v>124714.14</v>
      </c>
      <c r="L154" s="86">
        <v>45599</v>
      </c>
      <c r="M154" s="85" t="str">
        <f t="shared" si="4"/>
        <v>OK</v>
      </c>
      <c r="N154" s="85" t="str">
        <f t="shared" si="5"/>
        <v>High</v>
      </c>
    </row>
    <row r="155" spans="1:14" ht="16.5" x14ac:dyDescent="0.2">
      <c r="A155" s="126" t="s">
        <v>339</v>
      </c>
      <c r="B155" s="78" t="s">
        <v>340</v>
      </c>
      <c r="C155" s="78" t="s">
        <v>25</v>
      </c>
      <c r="D155" s="78" t="s">
        <v>40</v>
      </c>
      <c r="E155" s="78" t="s">
        <v>41</v>
      </c>
      <c r="F155" s="78" t="s">
        <v>27</v>
      </c>
      <c r="G155" s="79">
        <v>26.2</v>
      </c>
      <c r="H155" s="80">
        <v>42</v>
      </c>
      <c r="I155" s="81">
        <v>86.4</v>
      </c>
      <c r="J155" s="80">
        <v>210</v>
      </c>
      <c r="K155" s="79">
        <v>5502</v>
      </c>
      <c r="L155" s="82">
        <v>45556</v>
      </c>
      <c r="M155" s="80" t="str">
        <f t="shared" si="4"/>
        <v>Monitor</v>
      </c>
      <c r="N155" s="80" t="str">
        <f t="shared" si="5"/>
        <v>Low</v>
      </c>
    </row>
    <row r="156" spans="1:14" ht="16.5" x14ac:dyDescent="0.2">
      <c r="A156" s="72" t="s">
        <v>341</v>
      </c>
      <c r="B156" s="83" t="s">
        <v>342</v>
      </c>
      <c r="C156" s="83" t="s">
        <v>30</v>
      </c>
      <c r="D156" s="83" t="s">
        <v>40</v>
      </c>
      <c r="E156" s="83" t="s">
        <v>41</v>
      </c>
      <c r="F156" s="83" t="s">
        <v>1072</v>
      </c>
      <c r="G156" s="84">
        <v>1663.73</v>
      </c>
      <c r="H156" s="85">
        <v>43</v>
      </c>
      <c r="I156" s="76">
        <v>86.6</v>
      </c>
      <c r="J156" s="85">
        <v>494</v>
      </c>
      <c r="K156" s="84">
        <v>821882.62</v>
      </c>
      <c r="L156" s="86">
        <v>46370</v>
      </c>
      <c r="M156" s="85" t="str">
        <f t="shared" si="4"/>
        <v>Monitor</v>
      </c>
      <c r="N156" s="85" t="str">
        <f t="shared" si="5"/>
        <v>Premium</v>
      </c>
    </row>
    <row r="157" spans="1:14" ht="16.5" x14ac:dyDescent="0.2">
      <c r="A157" s="126" t="s">
        <v>343</v>
      </c>
      <c r="B157" s="78" t="s">
        <v>344</v>
      </c>
      <c r="C157" s="78" t="s">
        <v>25</v>
      </c>
      <c r="D157" s="78" t="s">
        <v>40</v>
      </c>
      <c r="E157" s="78" t="s">
        <v>41</v>
      </c>
      <c r="F157" s="78" t="s">
        <v>27</v>
      </c>
      <c r="G157" s="79">
        <v>26.09</v>
      </c>
      <c r="H157" s="80">
        <v>14</v>
      </c>
      <c r="I157" s="81">
        <v>70.400000000000006</v>
      </c>
      <c r="J157" s="80">
        <v>402</v>
      </c>
      <c r="K157" s="79">
        <v>10488.18</v>
      </c>
      <c r="L157" s="82">
        <v>46287</v>
      </c>
      <c r="M157" s="80" t="str">
        <f t="shared" si="4"/>
        <v>At Risk</v>
      </c>
      <c r="N157" s="80" t="str">
        <f t="shared" si="5"/>
        <v>Low</v>
      </c>
    </row>
    <row r="158" spans="1:14" ht="16.5" x14ac:dyDescent="0.2">
      <c r="A158" s="72" t="s">
        <v>345</v>
      </c>
      <c r="B158" s="83" t="s">
        <v>346</v>
      </c>
      <c r="C158" s="83" t="s">
        <v>48</v>
      </c>
      <c r="D158" s="83" t="s">
        <v>17</v>
      </c>
      <c r="E158" s="83" t="s">
        <v>18</v>
      </c>
      <c r="F158" s="83" t="s">
        <v>1073</v>
      </c>
      <c r="G158" s="84">
        <v>102.11</v>
      </c>
      <c r="H158" s="85">
        <v>7</v>
      </c>
      <c r="I158" s="76">
        <v>77.8</v>
      </c>
      <c r="J158" s="85">
        <v>286</v>
      </c>
      <c r="K158" s="84">
        <v>29203.46</v>
      </c>
      <c r="L158" s="86">
        <v>46370</v>
      </c>
      <c r="M158" s="85" t="str">
        <f t="shared" si="4"/>
        <v>At Risk</v>
      </c>
      <c r="N158" s="85" t="str">
        <f t="shared" si="5"/>
        <v>Medium</v>
      </c>
    </row>
    <row r="159" spans="1:14" ht="16.5" x14ac:dyDescent="0.2">
      <c r="A159" s="126" t="s">
        <v>347</v>
      </c>
      <c r="B159" s="78" t="s">
        <v>348</v>
      </c>
      <c r="C159" s="78" t="s">
        <v>25</v>
      </c>
      <c r="D159" s="78" t="s">
        <v>17</v>
      </c>
      <c r="E159" s="78" t="s">
        <v>31</v>
      </c>
      <c r="F159" s="78" t="s">
        <v>27</v>
      </c>
      <c r="G159" s="79">
        <v>14.03</v>
      </c>
      <c r="H159" s="80">
        <v>12</v>
      </c>
      <c r="I159" s="81">
        <v>92.4</v>
      </c>
      <c r="J159" s="80">
        <v>404</v>
      </c>
      <c r="K159" s="79">
        <v>5668.12</v>
      </c>
      <c r="L159" s="82">
        <v>45631</v>
      </c>
      <c r="M159" s="80" t="str">
        <f t="shared" si="4"/>
        <v>OK</v>
      </c>
      <c r="N159" s="80" t="str">
        <f t="shared" si="5"/>
        <v>Low</v>
      </c>
    </row>
    <row r="160" spans="1:14" ht="16.5" x14ac:dyDescent="0.2">
      <c r="A160" s="72" t="s">
        <v>349</v>
      </c>
      <c r="B160" s="83" t="s">
        <v>350</v>
      </c>
      <c r="C160" s="83" t="s">
        <v>39</v>
      </c>
      <c r="D160" s="83" t="s">
        <v>40</v>
      </c>
      <c r="E160" s="83" t="s">
        <v>22</v>
      </c>
      <c r="F160" s="83" t="s">
        <v>42</v>
      </c>
      <c r="G160" s="84">
        <v>4857.07</v>
      </c>
      <c r="H160" s="85">
        <v>40</v>
      </c>
      <c r="I160" s="76">
        <v>67.8</v>
      </c>
      <c r="J160" s="85">
        <v>393</v>
      </c>
      <c r="K160" s="84">
        <v>1908828.51</v>
      </c>
      <c r="L160" s="86">
        <v>46211</v>
      </c>
      <c r="M160" s="85" t="str">
        <f t="shared" si="4"/>
        <v>At Risk</v>
      </c>
      <c r="N160" s="85" t="str">
        <f t="shared" si="5"/>
        <v>Premium</v>
      </c>
    </row>
    <row r="161" spans="1:14" ht="16.5" x14ac:dyDescent="0.2">
      <c r="A161" s="126" t="s">
        <v>351</v>
      </c>
      <c r="B161" s="78" t="s">
        <v>352</v>
      </c>
      <c r="C161" s="78" t="s">
        <v>48</v>
      </c>
      <c r="D161" s="78" t="s">
        <v>40</v>
      </c>
      <c r="E161" s="78" t="s">
        <v>51</v>
      </c>
      <c r="F161" s="78" t="s">
        <v>1073</v>
      </c>
      <c r="G161" s="79">
        <v>108.96</v>
      </c>
      <c r="H161" s="80">
        <v>13</v>
      </c>
      <c r="I161" s="81">
        <v>71.599999999999994</v>
      </c>
      <c r="J161" s="80">
        <v>494</v>
      </c>
      <c r="K161" s="79">
        <v>53826.239999999998</v>
      </c>
      <c r="L161" s="82">
        <v>46194</v>
      </c>
      <c r="M161" s="80" t="str">
        <f t="shared" si="4"/>
        <v>At Risk</v>
      </c>
      <c r="N161" s="80" t="str">
        <f t="shared" si="5"/>
        <v>Medium</v>
      </c>
    </row>
    <row r="162" spans="1:14" ht="16.5" x14ac:dyDescent="0.2">
      <c r="A162" s="72" t="s">
        <v>353</v>
      </c>
      <c r="B162" s="83" t="s">
        <v>354</v>
      </c>
      <c r="C162" s="83" t="s">
        <v>39</v>
      </c>
      <c r="D162" s="83" t="s">
        <v>40</v>
      </c>
      <c r="E162" s="83" t="s">
        <v>31</v>
      </c>
      <c r="F162" s="83" t="s">
        <v>42</v>
      </c>
      <c r="G162" s="84">
        <v>4841.46</v>
      </c>
      <c r="H162" s="85">
        <v>53</v>
      </c>
      <c r="I162" s="76">
        <v>64</v>
      </c>
      <c r="J162" s="85">
        <v>319</v>
      </c>
      <c r="K162" s="84">
        <v>1544425.74</v>
      </c>
      <c r="L162" s="86">
        <v>45575</v>
      </c>
      <c r="M162" s="85" t="str">
        <f t="shared" si="4"/>
        <v>At Risk</v>
      </c>
      <c r="N162" s="85" t="str">
        <f t="shared" si="5"/>
        <v>Premium</v>
      </c>
    </row>
    <row r="163" spans="1:14" ht="16.5" x14ac:dyDescent="0.2">
      <c r="A163" s="126" t="s">
        <v>355</v>
      </c>
      <c r="B163" s="78" t="s">
        <v>356</v>
      </c>
      <c r="C163" s="78" t="s">
        <v>39</v>
      </c>
      <c r="D163" s="78" t="s">
        <v>34</v>
      </c>
      <c r="E163" s="78" t="s">
        <v>58</v>
      </c>
      <c r="F163" s="78" t="s">
        <v>42</v>
      </c>
      <c r="G163" s="79">
        <v>3643.58</v>
      </c>
      <c r="H163" s="80">
        <v>34</v>
      </c>
      <c r="I163" s="81">
        <v>93.3</v>
      </c>
      <c r="J163" s="80">
        <v>155</v>
      </c>
      <c r="K163" s="79">
        <v>564754.9</v>
      </c>
      <c r="L163" s="82">
        <v>45463</v>
      </c>
      <c r="M163" s="80" t="str">
        <f t="shared" si="4"/>
        <v>OK</v>
      </c>
      <c r="N163" s="80" t="str">
        <f t="shared" si="5"/>
        <v>Premium</v>
      </c>
    </row>
    <row r="164" spans="1:14" ht="16.5" x14ac:dyDescent="0.2">
      <c r="A164" s="72" t="s">
        <v>357</v>
      </c>
      <c r="B164" s="83" t="s">
        <v>358</v>
      </c>
      <c r="C164" s="83" t="s">
        <v>39</v>
      </c>
      <c r="D164" s="83" t="s">
        <v>34</v>
      </c>
      <c r="E164" s="83" t="s">
        <v>45</v>
      </c>
      <c r="F164" s="83" t="s">
        <v>42</v>
      </c>
      <c r="G164" s="84">
        <v>4205.92</v>
      </c>
      <c r="H164" s="85">
        <v>6</v>
      </c>
      <c r="I164" s="76">
        <v>97.6</v>
      </c>
      <c r="J164" s="85">
        <v>123</v>
      </c>
      <c r="K164" s="84">
        <v>517328.16</v>
      </c>
      <c r="L164" s="86">
        <v>46215</v>
      </c>
      <c r="M164" s="85" t="str">
        <f t="shared" si="4"/>
        <v>OK</v>
      </c>
      <c r="N164" s="85" t="str">
        <f t="shared" si="5"/>
        <v>Premium</v>
      </c>
    </row>
    <row r="165" spans="1:14" ht="16.5" x14ac:dyDescent="0.2">
      <c r="A165" s="126" t="s">
        <v>359</v>
      </c>
      <c r="B165" s="78" t="s">
        <v>360</v>
      </c>
      <c r="C165" s="78" t="s">
        <v>39</v>
      </c>
      <c r="D165" s="78" t="s">
        <v>17</v>
      </c>
      <c r="E165" s="78" t="s">
        <v>41</v>
      </c>
      <c r="F165" s="78" t="s">
        <v>42</v>
      </c>
      <c r="G165" s="79">
        <v>1408.16</v>
      </c>
      <c r="H165" s="80">
        <v>6</v>
      </c>
      <c r="I165" s="81">
        <v>71.900000000000006</v>
      </c>
      <c r="J165" s="80">
        <v>24</v>
      </c>
      <c r="K165" s="79">
        <v>33795.839999999997</v>
      </c>
      <c r="L165" s="82">
        <v>45944</v>
      </c>
      <c r="M165" s="80" t="str">
        <f t="shared" si="4"/>
        <v>At Risk</v>
      </c>
      <c r="N165" s="80" t="str">
        <f t="shared" si="5"/>
        <v>Premium</v>
      </c>
    </row>
    <row r="166" spans="1:14" ht="16.5" x14ac:dyDescent="0.2">
      <c r="A166" s="72" t="s">
        <v>361</v>
      </c>
      <c r="B166" s="83" t="s">
        <v>362</v>
      </c>
      <c r="C166" s="83" t="s">
        <v>48</v>
      </c>
      <c r="D166" s="83" t="s">
        <v>17</v>
      </c>
      <c r="E166" s="83" t="s">
        <v>18</v>
      </c>
      <c r="F166" s="83" t="s">
        <v>1073</v>
      </c>
      <c r="G166" s="84">
        <v>110.5</v>
      </c>
      <c r="H166" s="85">
        <v>31</v>
      </c>
      <c r="I166" s="76">
        <v>86.3</v>
      </c>
      <c r="J166" s="85">
        <v>81</v>
      </c>
      <c r="K166" s="84">
        <v>8950.5</v>
      </c>
      <c r="L166" s="86">
        <v>46252</v>
      </c>
      <c r="M166" s="85" t="str">
        <f t="shared" si="4"/>
        <v>Monitor</v>
      </c>
      <c r="N166" s="85" t="str">
        <f t="shared" si="5"/>
        <v>Medium</v>
      </c>
    </row>
    <row r="167" spans="1:14" ht="16.5" x14ac:dyDescent="0.2">
      <c r="A167" s="126" t="s">
        <v>363</v>
      </c>
      <c r="B167" s="78" t="s">
        <v>364</v>
      </c>
      <c r="C167" s="78" t="s">
        <v>16</v>
      </c>
      <c r="D167" s="78" t="s">
        <v>34</v>
      </c>
      <c r="E167" s="78" t="s">
        <v>26</v>
      </c>
      <c r="F167" s="78" t="s">
        <v>19</v>
      </c>
      <c r="G167" s="79">
        <v>241.94</v>
      </c>
      <c r="H167" s="80">
        <v>54</v>
      </c>
      <c r="I167" s="81">
        <v>61.7</v>
      </c>
      <c r="J167" s="80">
        <v>491</v>
      </c>
      <c r="K167" s="79">
        <v>118792.54</v>
      </c>
      <c r="L167" s="82">
        <v>46372</v>
      </c>
      <c r="M167" s="80" t="str">
        <f t="shared" si="4"/>
        <v>At Risk</v>
      </c>
      <c r="N167" s="80" t="str">
        <f t="shared" si="5"/>
        <v>Medium</v>
      </c>
    </row>
    <row r="168" spans="1:14" ht="16.5" x14ac:dyDescent="0.2">
      <c r="A168" s="72" t="s">
        <v>365</v>
      </c>
      <c r="B168" s="83" t="s">
        <v>366</v>
      </c>
      <c r="C168" s="83" t="s">
        <v>30</v>
      </c>
      <c r="D168" s="83" t="s">
        <v>17</v>
      </c>
      <c r="E168" s="83" t="s">
        <v>58</v>
      </c>
      <c r="F168" s="83" t="s">
        <v>1072</v>
      </c>
      <c r="G168" s="84">
        <v>285.95</v>
      </c>
      <c r="H168" s="85">
        <v>27</v>
      </c>
      <c r="I168" s="76">
        <v>83.8</v>
      </c>
      <c r="J168" s="85">
        <v>328</v>
      </c>
      <c r="K168" s="84">
        <v>93791.6</v>
      </c>
      <c r="L168" s="86">
        <v>46228</v>
      </c>
      <c r="M168" s="85" t="str">
        <f t="shared" si="4"/>
        <v>At Risk</v>
      </c>
      <c r="N168" s="85" t="str">
        <f t="shared" si="5"/>
        <v>High</v>
      </c>
    </row>
    <row r="169" spans="1:14" ht="16.5" x14ac:dyDescent="0.2">
      <c r="A169" s="126" t="s">
        <v>367</v>
      </c>
      <c r="B169" s="78" t="s">
        <v>368</v>
      </c>
      <c r="C169" s="78" t="s">
        <v>39</v>
      </c>
      <c r="D169" s="78" t="s">
        <v>40</v>
      </c>
      <c r="E169" s="78" t="s">
        <v>26</v>
      </c>
      <c r="F169" s="78" t="s">
        <v>42</v>
      </c>
      <c r="G169" s="79">
        <v>3270.19</v>
      </c>
      <c r="H169" s="80">
        <v>37</v>
      </c>
      <c r="I169" s="81">
        <v>65.900000000000006</v>
      </c>
      <c r="J169" s="80">
        <v>83</v>
      </c>
      <c r="K169" s="79">
        <v>271425.77</v>
      </c>
      <c r="L169" s="82">
        <v>45888</v>
      </c>
      <c r="M169" s="80" t="str">
        <f t="shared" si="4"/>
        <v>At Risk</v>
      </c>
      <c r="N169" s="80" t="str">
        <f t="shared" si="5"/>
        <v>Premium</v>
      </c>
    </row>
    <row r="170" spans="1:14" ht="16.5" x14ac:dyDescent="0.2">
      <c r="A170" s="72" t="s">
        <v>369</v>
      </c>
      <c r="B170" s="83" t="s">
        <v>370</v>
      </c>
      <c r="C170" s="83" t="s">
        <v>25</v>
      </c>
      <c r="D170" s="83" t="s">
        <v>40</v>
      </c>
      <c r="E170" s="83" t="s">
        <v>31</v>
      </c>
      <c r="F170" s="83" t="s">
        <v>27</v>
      </c>
      <c r="G170" s="84">
        <v>16.61</v>
      </c>
      <c r="H170" s="85">
        <v>43</v>
      </c>
      <c r="I170" s="76">
        <v>58.9</v>
      </c>
      <c r="J170" s="85">
        <v>194</v>
      </c>
      <c r="K170" s="84">
        <v>3222.34</v>
      </c>
      <c r="L170" s="86">
        <v>45430</v>
      </c>
      <c r="M170" s="85" t="str">
        <f t="shared" si="4"/>
        <v>At Risk</v>
      </c>
      <c r="N170" s="85" t="str">
        <f t="shared" si="5"/>
        <v>Low</v>
      </c>
    </row>
    <row r="171" spans="1:14" ht="16.5" x14ac:dyDescent="0.2">
      <c r="A171" s="126" t="s">
        <v>371</v>
      </c>
      <c r="B171" s="78" t="s">
        <v>372</v>
      </c>
      <c r="C171" s="78" t="s">
        <v>25</v>
      </c>
      <c r="D171" s="78" t="s">
        <v>34</v>
      </c>
      <c r="E171" s="78" t="s">
        <v>26</v>
      </c>
      <c r="F171" s="78" t="s">
        <v>27</v>
      </c>
      <c r="G171" s="79">
        <v>32.46</v>
      </c>
      <c r="H171" s="80">
        <v>31</v>
      </c>
      <c r="I171" s="81">
        <v>57</v>
      </c>
      <c r="J171" s="80">
        <v>208</v>
      </c>
      <c r="K171" s="79">
        <v>6751.68</v>
      </c>
      <c r="L171" s="82">
        <v>46056</v>
      </c>
      <c r="M171" s="80" t="str">
        <f t="shared" si="4"/>
        <v>At Risk</v>
      </c>
      <c r="N171" s="80" t="str">
        <f t="shared" si="5"/>
        <v>Low</v>
      </c>
    </row>
    <row r="172" spans="1:14" ht="16.5" x14ac:dyDescent="0.2">
      <c r="A172" s="72" t="s">
        <v>373</v>
      </c>
      <c r="B172" s="83" t="s">
        <v>374</v>
      </c>
      <c r="C172" s="83" t="s">
        <v>30</v>
      </c>
      <c r="D172" s="83" t="s">
        <v>34</v>
      </c>
      <c r="E172" s="83" t="s">
        <v>41</v>
      </c>
      <c r="F172" s="83" t="s">
        <v>1072</v>
      </c>
      <c r="G172" s="84">
        <v>634.03</v>
      </c>
      <c r="H172" s="85">
        <v>43</v>
      </c>
      <c r="I172" s="76">
        <v>83.3</v>
      </c>
      <c r="J172" s="85">
        <v>405</v>
      </c>
      <c r="K172" s="84">
        <v>256782.15</v>
      </c>
      <c r="L172" s="86">
        <v>45972</v>
      </c>
      <c r="M172" s="85" t="str">
        <f t="shared" si="4"/>
        <v>At Risk</v>
      </c>
      <c r="N172" s="85" t="str">
        <f t="shared" si="5"/>
        <v>High</v>
      </c>
    </row>
    <row r="173" spans="1:14" ht="16.5" x14ac:dyDescent="0.2">
      <c r="A173" s="126" t="s">
        <v>375</v>
      </c>
      <c r="B173" s="78" t="s">
        <v>376</v>
      </c>
      <c r="C173" s="78" t="s">
        <v>30</v>
      </c>
      <c r="D173" s="78" t="s">
        <v>40</v>
      </c>
      <c r="E173" s="78" t="s">
        <v>45</v>
      </c>
      <c r="F173" s="78" t="s">
        <v>1072</v>
      </c>
      <c r="G173" s="79">
        <v>1694.69</v>
      </c>
      <c r="H173" s="80">
        <v>44</v>
      </c>
      <c r="I173" s="81">
        <v>75.900000000000006</v>
      </c>
      <c r="J173" s="80">
        <v>366</v>
      </c>
      <c r="K173" s="79">
        <v>620256.54</v>
      </c>
      <c r="L173" s="82">
        <v>46272</v>
      </c>
      <c r="M173" s="80" t="str">
        <f t="shared" si="4"/>
        <v>At Risk</v>
      </c>
      <c r="N173" s="80" t="str">
        <f t="shared" si="5"/>
        <v>Premium</v>
      </c>
    </row>
    <row r="174" spans="1:14" ht="16.5" x14ac:dyDescent="0.2">
      <c r="A174" s="72" t="s">
        <v>377</v>
      </c>
      <c r="B174" s="83" t="s">
        <v>378</v>
      </c>
      <c r="C174" s="83" t="s">
        <v>16</v>
      </c>
      <c r="D174" s="83" t="s">
        <v>40</v>
      </c>
      <c r="E174" s="83" t="s">
        <v>51</v>
      </c>
      <c r="F174" s="83" t="s">
        <v>19</v>
      </c>
      <c r="G174" s="84">
        <v>77.739999999999995</v>
      </c>
      <c r="H174" s="85">
        <v>13</v>
      </c>
      <c r="I174" s="76">
        <v>57</v>
      </c>
      <c r="J174" s="85">
        <v>112</v>
      </c>
      <c r="K174" s="84">
        <v>8706.8799999999992</v>
      </c>
      <c r="L174" s="86">
        <v>45377</v>
      </c>
      <c r="M174" s="85" t="str">
        <f t="shared" si="4"/>
        <v>At Risk</v>
      </c>
      <c r="N174" s="85" t="str">
        <f t="shared" si="5"/>
        <v>Medium</v>
      </c>
    </row>
    <row r="175" spans="1:14" ht="16.5" x14ac:dyDescent="0.2">
      <c r="A175" s="126" t="s">
        <v>379</v>
      </c>
      <c r="B175" s="78" t="s">
        <v>380</v>
      </c>
      <c r="C175" s="78" t="s">
        <v>25</v>
      </c>
      <c r="D175" s="78" t="s">
        <v>40</v>
      </c>
      <c r="E175" s="78" t="s">
        <v>51</v>
      </c>
      <c r="F175" s="78" t="s">
        <v>27</v>
      </c>
      <c r="G175" s="79">
        <v>21.76</v>
      </c>
      <c r="H175" s="80">
        <v>49</v>
      </c>
      <c r="I175" s="81">
        <v>84.1</v>
      </c>
      <c r="J175" s="80">
        <v>156</v>
      </c>
      <c r="K175" s="79">
        <v>3394.56</v>
      </c>
      <c r="L175" s="82">
        <v>46023</v>
      </c>
      <c r="M175" s="80" t="str">
        <f t="shared" si="4"/>
        <v>At Risk</v>
      </c>
      <c r="N175" s="80" t="str">
        <f t="shared" si="5"/>
        <v>Low</v>
      </c>
    </row>
    <row r="176" spans="1:14" ht="16.5" x14ac:dyDescent="0.2">
      <c r="A176" s="72" t="s">
        <v>381</v>
      </c>
      <c r="B176" s="83" t="s">
        <v>382</v>
      </c>
      <c r="C176" s="83" t="s">
        <v>30</v>
      </c>
      <c r="D176" s="83" t="s">
        <v>17</v>
      </c>
      <c r="E176" s="83" t="s">
        <v>41</v>
      </c>
      <c r="F176" s="83" t="s">
        <v>1072</v>
      </c>
      <c r="G176" s="84">
        <v>986.51</v>
      </c>
      <c r="H176" s="85">
        <v>26</v>
      </c>
      <c r="I176" s="76">
        <v>88.4</v>
      </c>
      <c r="J176" s="85">
        <v>468</v>
      </c>
      <c r="K176" s="84">
        <v>461686.68</v>
      </c>
      <c r="L176" s="86">
        <v>46083</v>
      </c>
      <c r="M176" s="85" t="str">
        <f t="shared" si="4"/>
        <v>Monitor</v>
      </c>
      <c r="N176" s="85" t="str">
        <f t="shared" si="5"/>
        <v>High</v>
      </c>
    </row>
    <row r="177" spans="1:14" ht="16.5" x14ac:dyDescent="0.2">
      <c r="A177" s="126" t="s">
        <v>383</v>
      </c>
      <c r="B177" s="78" t="s">
        <v>384</v>
      </c>
      <c r="C177" s="78" t="s">
        <v>39</v>
      </c>
      <c r="D177" s="78" t="s">
        <v>40</v>
      </c>
      <c r="E177" s="78" t="s">
        <v>41</v>
      </c>
      <c r="F177" s="78" t="s">
        <v>42</v>
      </c>
      <c r="G177" s="79">
        <v>4644.26</v>
      </c>
      <c r="H177" s="80">
        <v>34</v>
      </c>
      <c r="I177" s="81">
        <v>67</v>
      </c>
      <c r="J177" s="80">
        <v>52</v>
      </c>
      <c r="K177" s="79">
        <v>241501.52</v>
      </c>
      <c r="L177" s="82">
        <v>46161</v>
      </c>
      <c r="M177" s="80" t="str">
        <f t="shared" si="4"/>
        <v>At Risk</v>
      </c>
      <c r="N177" s="80" t="str">
        <f t="shared" si="5"/>
        <v>Premium</v>
      </c>
    </row>
    <row r="178" spans="1:14" ht="16.5" x14ac:dyDescent="0.2">
      <c r="A178" s="72" t="s">
        <v>385</v>
      </c>
      <c r="B178" s="83" t="s">
        <v>386</v>
      </c>
      <c r="C178" s="83" t="s">
        <v>25</v>
      </c>
      <c r="D178" s="83" t="s">
        <v>34</v>
      </c>
      <c r="E178" s="83" t="s">
        <v>45</v>
      </c>
      <c r="F178" s="83" t="s">
        <v>27</v>
      </c>
      <c r="G178" s="84">
        <v>44.55</v>
      </c>
      <c r="H178" s="85">
        <v>21</v>
      </c>
      <c r="I178" s="76">
        <v>59.6</v>
      </c>
      <c r="J178" s="85">
        <v>177</v>
      </c>
      <c r="K178" s="84">
        <v>7885.35</v>
      </c>
      <c r="L178" s="86">
        <v>45897</v>
      </c>
      <c r="M178" s="85" t="str">
        <f t="shared" si="4"/>
        <v>At Risk</v>
      </c>
      <c r="N178" s="85" t="str">
        <f t="shared" si="5"/>
        <v>Low</v>
      </c>
    </row>
    <row r="179" spans="1:14" ht="16.5" x14ac:dyDescent="0.2">
      <c r="A179" s="126" t="s">
        <v>387</v>
      </c>
      <c r="B179" s="78" t="s">
        <v>388</v>
      </c>
      <c r="C179" s="78" t="s">
        <v>25</v>
      </c>
      <c r="D179" s="78" t="s">
        <v>40</v>
      </c>
      <c r="E179" s="78" t="s">
        <v>45</v>
      </c>
      <c r="F179" s="78" t="s">
        <v>27</v>
      </c>
      <c r="G179" s="79">
        <v>55.8</v>
      </c>
      <c r="H179" s="80">
        <v>23</v>
      </c>
      <c r="I179" s="81">
        <v>75.099999999999994</v>
      </c>
      <c r="J179" s="80">
        <v>382</v>
      </c>
      <c r="K179" s="79">
        <v>21315.599999999999</v>
      </c>
      <c r="L179" s="82">
        <v>46014</v>
      </c>
      <c r="M179" s="80" t="str">
        <f t="shared" si="4"/>
        <v>At Risk</v>
      </c>
      <c r="N179" s="80" t="str">
        <f t="shared" si="5"/>
        <v>Medium</v>
      </c>
    </row>
    <row r="180" spans="1:14" ht="16.5" x14ac:dyDescent="0.2">
      <c r="A180" s="72" t="s">
        <v>389</v>
      </c>
      <c r="B180" s="83" t="s">
        <v>390</v>
      </c>
      <c r="C180" s="83" t="s">
        <v>30</v>
      </c>
      <c r="D180" s="83" t="s">
        <v>40</v>
      </c>
      <c r="E180" s="83" t="s">
        <v>26</v>
      </c>
      <c r="F180" s="83" t="s">
        <v>1072</v>
      </c>
      <c r="G180" s="84">
        <v>335.07</v>
      </c>
      <c r="H180" s="85">
        <v>41</v>
      </c>
      <c r="I180" s="76">
        <v>73.3</v>
      </c>
      <c r="J180" s="85">
        <v>272</v>
      </c>
      <c r="K180" s="84">
        <v>91139.04</v>
      </c>
      <c r="L180" s="86">
        <v>45619</v>
      </c>
      <c r="M180" s="85" t="str">
        <f t="shared" si="4"/>
        <v>At Risk</v>
      </c>
      <c r="N180" s="85" t="str">
        <f t="shared" si="5"/>
        <v>High</v>
      </c>
    </row>
    <row r="181" spans="1:14" ht="16.5" x14ac:dyDescent="0.2">
      <c r="A181" s="126" t="s">
        <v>391</v>
      </c>
      <c r="B181" s="78" t="s">
        <v>392</v>
      </c>
      <c r="C181" s="78" t="s">
        <v>25</v>
      </c>
      <c r="D181" s="78" t="s">
        <v>40</v>
      </c>
      <c r="E181" s="78" t="s">
        <v>51</v>
      </c>
      <c r="F181" s="78" t="s">
        <v>27</v>
      </c>
      <c r="G181" s="79">
        <v>4.71</v>
      </c>
      <c r="H181" s="80">
        <v>5</v>
      </c>
      <c r="I181" s="81">
        <v>65.599999999999994</v>
      </c>
      <c r="J181" s="80">
        <v>340</v>
      </c>
      <c r="K181" s="79">
        <v>1601.4</v>
      </c>
      <c r="L181" s="82">
        <v>46042</v>
      </c>
      <c r="M181" s="80" t="str">
        <f t="shared" si="4"/>
        <v>At Risk</v>
      </c>
      <c r="N181" s="80" t="str">
        <f t="shared" si="5"/>
        <v>Low</v>
      </c>
    </row>
    <row r="182" spans="1:14" ht="16.5" x14ac:dyDescent="0.2">
      <c r="A182" s="72" t="s">
        <v>393</v>
      </c>
      <c r="B182" s="83" t="s">
        <v>394</v>
      </c>
      <c r="C182" s="83" t="s">
        <v>25</v>
      </c>
      <c r="D182" s="83" t="s">
        <v>17</v>
      </c>
      <c r="E182" s="83" t="s">
        <v>45</v>
      </c>
      <c r="F182" s="83" t="s">
        <v>27</v>
      </c>
      <c r="G182" s="84">
        <v>54.97</v>
      </c>
      <c r="H182" s="85">
        <v>24</v>
      </c>
      <c r="I182" s="76">
        <v>71.7</v>
      </c>
      <c r="J182" s="85">
        <v>400</v>
      </c>
      <c r="K182" s="84">
        <v>21988</v>
      </c>
      <c r="L182" s="86">
        <v>45449</v>
      </c>
      <c r="M182" s="85" t="str">
        <f t="shared" si="4"/>
        <v>At Risk</v>
      </c>
      <c r="N182" s="85" t="str">
        <f t="shared" si="5"/>
        <v>Medium</v>
      </c>
    </row>
    <row r="183" spans="1:14" ht="16.5" x14ac:dyDescent="0.2">
      <c r="A183" s="126" t="s">
        <v>395</v>
      </c>
      <c r="B183" s="78" t="s">
        <v>396</v>
      </c>
      <c r="C183" s="78" t="s">
        <v>25</v>
      </c>
      <c r="D183" s="78" t="s">
        <v>40</v>
      </c>
      <c r="E183" s="78" t="s">
        <v>41</v>
      </c>
      <c r="F183" s="78" t="s">
        <v>27</v>
      </c>
      <c r="G183" s="79">
        <v>52.67</v>
      </c>
      <c r="H183" s="80">
        <v>16</v>
      </c>
      <c r="I183" s="81">
        <v>98.2</v>
      </c>
      <c r="J183" s="80">
        <v>23</v>
      </c>
      <c r="K183" s="79">
        <v>1211.4100000000001</v>
      </c>
      <c r="L183" s="82">
        <v>45673</v>
      </c>
      <c r="M183" s="80" t="str">
        <f t="shared" si="4"/>
        <v>OK</v>
      </c>
      <c r="N183" s="80" t="str">
        <f t="shared" si="5"/>
        <v>Medium</v>
      </c>
    </row>
    <row r="184" spans="1:14" ht="16.5" x14ac:dyDescent="0.2">
      <c r="A184" s="72" t="s">
        <v>397</v>
      </c>
      <c r="B184" s="83" t="s">
        <v>398</v>
      </c>
      <c r="C184" s="83" t="s">
        <v>39</v>
      </c>
      <c r="D184" s="83" t="s">
        <v>34</v>
      </c>
      <c r="E184" s="83" t="s">
        <v>58</v>
      </c>
      <c r="F184" s="83" t="s">
        <v>42</v>
      </c>
      <c r="G184" s="84">
        <v>1530.35</v>
      </c>
      <c r="H184" s="85">
        <v>17</v>
      </c>
      <c r="I184" s="76">
        <v>86.7</v>
      </c>
      <c r="J184" s="85">
        <v>119</v>
      </c>
      <c r="K184" s="84">
        <v>182111.65</v>
      </c>
      <c r="L184" s="86">
        <v>45876</v>
      </c>
      <c r="M184" s="85" t="str">
        <f t="shared" si="4"/>
        <v>Monitor</v>
      </c>
      <c r="N184" s="85" t="str">
        <f t="shared" si="5"/>
        <v>Premium</v>
      </c>
    </row>
    <row r="185" spans="1:14" ht="16.5" x14ac:dyDescent="0.2">
      <c r="A185" s="126" t="s">
        <v>399</v>
      </c>
      <c r="B185" s="78" t="s">
        <v>400</v>
      </c>
      <c r="C185" s="78" t="s">
        <v>16</v>
      </c>
      <c r="D185" s="78" t="s">
        <v>17</v>
      </c>
      <c r="E185" s="78" t="s">
        <v>58</v>
      </c>
      <c r="F185" s="78" t="s">
        <v>19</v>
      </c>
      <c r="G185" s="79">
        <v>389.03</v>
      </c>
      <c r="H185" s="80">
        <v>58</v>
      </c>
      <c r="I185" s="81">
        <v>87.1</v>
      </c>
      <c r="J185" s="80">
        <v>54</v>
      </c>
      <c r="K185" s="79">
        <v>21007.62</v>
      </c>
      <c r="L185" s="82">
        <v>45946</v>
      </c>
      <c r="M185" s="80" t="str">
        <f t="shared" si="4"/>
        <v>Monitor</v>
      </c>
      <c r="N185" s="80" t="str">
        <f t="shared" si="5"/>
        <v>High</v>
      </c>
    </row>
    <row r="186" spans="1:14" ht="16.5" x14ac:dyDescent="0.2">
      <c r="A186" s="72" t="s">
        <v>401</v>
      </c>
      <c r="B186" s="83" t="s">
        <v>402</v>
      </c>
      <c r="C186" s="83" t="s">
        <v>25</v>
      </c>
      <c r="D186" s="83" t="s">
        <v>40</v>
      </c>
      <c r="E186" s="83" t="s">
        <v>18</v>
      </c>
      <c r="F186" s="83" t="s">
        <v>27</v>
      </c>
      <c r="G186" s="84">
        <v>68.41</v>
      </c>
      <c r="H186" s="85">
        <v>46</v>
      </c>
      <c r="I186" s="76">
        <v>86.9</v>
      </c>
      <c r="J186" s="85">
        <v>368</v>
      </c>
      <c r="K186" s="84">
        <v>25174.880000000001</v>
      </c>
      <c r="L186" s="86">
        <v>45648</v>
      </c>
      <c r="M186" s="85" t="str">
        <f t="shared" si="4"/>
        <v>Monitor</v>
      </c>
      <c r="N186" s="85" t="str">
        <f t="shared" si="5"/>
        <v>Medium</v>
      </c>
    </row>
    <row r="187" spans="1:14" ht="16.5" x14ac:dyDescent="0.2">
      <c r="A187" s="126" t="s">
        <v>403</v>
      </c>
      <c r="B187" s="78" t="s">
        <v>404</v>
      </c>
      <c r="C187" s="78" t="s">
        <v>48</v>
      </c>
      <c r="D187" s="78" t="s">
        <v>17</v>
      </c>
      <c r="E187" s="78" t="s">
        <v>22</v>
      </c>
      <c r="F187" s="78" t="s">
        <v>1073</v>
      </c>
      <c r="G187" s="79">
        <v>96.09</v>
      </c>
      <c r="H187" s="80">
        <v>16</v>
      </c>
      <c r="I187" s="81">
        <v>90.6</v>
      </c>
      <c r="J187" s="80">
        <v>23</v>
      </c>
      <c r="K187" s="79">
        <v>2210.0700000000002</v>
      </c>
      <c r="L187" s="82">
        <v>46031</v>
      </c>
      <c r="M187" s="80" t="str">
        <f t="shared" si="4"/>
        <v>Monitor</v>
      </c>
      <c r="N187" s="80" t="str">
        <f t="shared" si="5"/>
        <v>Medium</v>
      </c>
    </row>
    <row r="188" spans="1:14" ht="16.5" x14ac:dyDescent="0.2">
      <c r="A188" s="72" t="s">
        <v>405</v>
      </c>
      <c r="B188" s="83" t="s">
        <v>406</v>
      </c>
      <c r="C188" s="83" t="s">
        <v>30</v>
      </c>
      <c r="D188" s="83" t="s">
        <v>40</v>
      </c>
      <c r="E188" s="83" t="s">
        <v>45</v>
      </c>
      <c r="F188" s="83" t="s">
        <v>1072</v>
      </c>
      <c r="G188" s="84">
        <v>1301.51</v>
      </c>
      <c r="H188" s="85">
        <v>6</v>
      </c>
      <c r="I188" s="76">
        <v>58</v>
      </c>
      <c r="J188" s="85">
        <v>213</v>
      </c>
      <c r="K188" s="84">
        <v>277221.63</v>
      </c>
      <c r="L188" s="86">
        <v>46272</v>
      </c>
      <c r="M188" s="85" t="str">
        <f t="shared" si="4"/>
        <v>At Risk</v>
      </c>
      <c r="N188" s="85" t="str">
        <f t="shared" si="5"/>
        <v>Premium</v>
      </c>
    </row>
    <row r="189" spans="1:14" ht="16.5" x14ac:dyDescent="0.2">
      <c r="A189" s="126" t="s">
        <v>407</v>
      </c>
      <c r="B189" s="78" t="s">
        <v>408</v>
      </c>
      <c r="C189" s="78" t="s">
        <v>39</v>
      </c>
      <c r="D189" s="78" t="s">
        <v>34</v>
      </c>
      <c r="E189" s="78" t="s">
        <v>58</v>
      </c>
      <c r="F189" s="78" t="s">
        <v>42</v>
      </c>
      <c r="G189" s="79">
        <v>889.04</v>
      </c>
      <c r="H189" s="80">
        <v>21</v>
      </c>
      <c r="I189" s="81">
        <v>83.9</v>
      </c>
      <c r="J189" s="80">
        <v>240</v>
      </c>
      <c r="K189" s="79">
        <v>213369.60000000001</v>
      </c>
      <c r="L189" s="82">
        <v>46246</v>
      </c>
      <c r="M189" s="80" t="str">
        <f t="shared" si="4"/>
        <v>At Risk</v>
      </c>
      <c r="N189" s="80" t="str">
        <f t="shared" si="5"/>
        <v>High</v>
      </c>
    </row>
    <row r="190" spans="1:14" ht="16.5" x14ac:dyDescent="0.2">
      <c r="A190" s="72" t="s">
        <v>409</v>
      </c>
      <c r="B190" s="83" t="s">
        <v>410</v>
      </c>
      <c r="C190" s="83" t="s">
        <v>48</v>
      </c>
      <c r="D190" s="83" t="s">
        <v>34</v>
      </c>
      <c r="E190" s="83" t="s">
        <v>45</v>
      </c>
      <c r="F190" s="83" t="s">
        <v>1073</v>
      </c>
      <c r="G190" s="84">
        <v>93.29</v>
      </c>
      <c r="H190" s="85">
        <v>9</v>
      </c>
      <c r="I190" s="76">
        <v>74.5</v>
      </c>
      <c r="J190" s="85">
        <v>476</v>
      </c>
      <c r="K190" s="84">
        <v>44406.04</v>
      </c>
      <c r="L190" s="86">
        <v>45405</v>
      </c>
      <c r="M190" s="85" t="str">
        <f t="shared" si="4"/>
        <v>At Risk</v>
      </c>
      <c r="N190" s="85" t="str">
        <f t="shared" si="5"/>
        <v>Medium</v>
      </c>
    </row>
    <row r="191" spans="1:14" ht="16.5" x14ac:dyDescent="0.2">
      <c r="A191" s="126" t="s">
        <v>411</v>
      </c>
      <c r="B191" s="78" t="s">
        <v>412</v>
      </c>
      <c r="C191" s="78" t="s">
        <v>48</v>
      </c>
      <c r="D191" s="78" t="s">
        <v>40</v>
      </c>
      <c r="E191" s="78" t="s">
        <v>45</v>
      </c>
      <c r="F191" s="78" t="s">
        <v>1073</v>
      </c>
      <c r="G191" s="79">
        <v>42.11</v>
      </c>
      <c r="H191" s="80">
        <v>46</v>
      </c>
      <c r="I191" s="81">
        <v>65.099999999999994</v>
      </c>
      <c r="J191" s="80">
        <v>495</v>
      </c>
      <c r="K191" s="79">
        <v>20844.45</v>
      </c>
      <c r="L191" s="82">
        <v>46354</v>
      </c>
      <c r="M191" s="80" t="str">
        <f t="shared" si="4"/>
        <v>At Risk</v>
      </c>
      <c r="N191" s="80" t="str">
        <f t="shared" si="5"/>
        <v>Low</v>
      </c>
    </row>
    <row r="192" spans="1:14" ht="16.5" x14ac:dyDescent="0.2">
      <c r="A192" s="72" t="s">
        <v>413</v>
      </c>
      <c r="B192" s="83" t="s">
        <v>414</v>
      </c>
      <c r="C192" s="83" t="s">
        <v>30</v>
      </c>
      <c r="D192" s="83" t="s">
        <v>17</v>
      </c>
      <c r="E192" s="83" t="s">
        <v>18</v>
      </c>
      <c r="F192" s="83" t="s">
        <v>1072</v>
      </c>
      <c r="G192" s="84">
        <v>425.31</v>
      </c>
      <c r="H192" s="85">
        <v>20</v>
      </c>
      <c r="I192" s="76">
        <v>82.6</v>
      </c>
      <c r="J192" s="85">
        <v>57</v>
      </c>
      <c r="K192" s="84">
        <v>24242.67</v>
      </c>
      <c r="L192" s="86">
        <v>46321</v>
      </c>
      <c r="M192" s="85" t="str">
        <f t="shared" si="4"/>
        <v>At Risk</v>
      </c>
      <c r="N192" s="85" t="str">
        <f t="shared" si="5"/>
        <v>High</v>
      </c>
    </row>
    <row r="193" spans="1:14" ht="16.5" x14ac:dyDescent="0.2">
      <c r="A193" s="126" t="s">
        <v>415</v>
      </c>
      <c r="B193" s="78" t="s">
        <v>416</v>
      </c>
      <c r="C193" s="78" t="s">
        <v>25</v>
      </c>
      <c r="D193" s="78" t="s">
        <v>17</v>
      </c>
      <c r="E193" s="78" t="s">
        <v>41</v>
      </c>
      <c r="F193" s="78" t="s">
        <v>27</v>
      </c>
      <c r="G193" s="79">
        <v>67.72</v>
      </c>
      <c r="H193" s="80">
        <v>37</v>
      </c>
      <c r="I193" s="81">
        <v>56.9</v>
      </c>
      <c r="J193" s="80">
        <v>452</v>
      </c>
      <c r="K193" s="79">
        <v>30609.439999999999</v>
      </c>
      <c r="L193" s="82">
        <v>45350</v>
      </c>
      <c r="M193" s="80" t="str">
        <f t="shared" si="4"/>
        <v>At Risk</v>
      </c>
      <c r="N193" s="80" t="str">
        <f t="shared" si="5"/>
        <v>Medium</v>
      </c>
    </row>
    <row r="194" spans="1:14" ht="16.5" x14ac:dyDescent="0.2">
      <c r="A194" s="72" t="s">
        <v>417</v>
      </c>
      <c r="B194" s="83" t="s">
        <v>418</v>
      </c>
      <c r="C194" s="83" t="s">
        <v>25</v>
      </c>
      <c r="D194" s="83" t="s">
        <v>17</v>
      </c>
      <c r="E194" s="83" t="s">
        <v>22</v>
      </c>
      <c r="F194" s="83" t="s">
        <v>27</v>
      </c>
      <c r="G194" s="84">
        <v>61.82</v>
      </c>
      <c r="H194" s="85">
        <v>27</v>
      </c>
      <c r="I194" s="76">
        <v>82.8</v>
      </c>
      <c r="J194" s="85">
        <v>25</v>
      </c>
      <c r="K194" s="84">
        <v>1545.5</v>
      </c>
      <c r="L194" s="86">
        <v>46311</v>
      </c>
      <c r="M194" s="85" t="str">
        <f t="shared" ref="M194:M257" si="6">IF(I194&lt;85,"At Risk",IF(I194&lt;92,"Monitor","OK"))</f>
        <v>At Risk</v>
      </c>
      <c r="N194" s="85" t="str">
        <f t="shared" ref="N194:N257" si="7">IF(G194&lt;50,"Low",IF(G194&lt;250,"Medium",IF(G194&lt;1000,"High","Premium")))</f>
        <v>Medium</v>
      </c>
    </row>
    <row r="195" spans="1:14" ht="16.5" x14ac:dyDescent="0.2">
      <c r="A195" s="126" t="s">
        <v>419</v>
      </c>
      <c r="B195" s="78" t="s">
        <v>420</v>
      </c>
      <c r="C195" s="78" t="s">
        <v>30</v>
      </c>
      <c r="D195" s="78" t="s">
        <v>40</v>
      </c>
      <c r="E195" s="78" t="s">
        <v>31</v>
      </c>
      <c r="F195" s="78" t="s">
        <v>1072</v>
      </c>
      <c r="G195" s="79">
        <v>735.38</v>
      </c>
      <c r="H195" s="80">
        <v>5</v>
      </c>
      <c r="I195" s="81">
        <v>86</v>
      </c>
      <c r="J195" s="80">
        <v>90</v>
      </c>
      <c r="K195" s="79">
        <v>66184.2</v>
      </c>
      <c r="L195" s="82">
        <v>46192</v>
      </c>
      <c r="M195" s="80" t="str">
        <f t="shared" si="6"/>
        <v>Monitor</v>
      </c>
      <c r="N195" s="80" t="str">
        <f t="shared" si="7"/>
        <v>High</v>
      </c>
    </row>
    <row r="196" spans="1:14" ht="16.5" x14ac:dyDescent="0.2">
      <c r="A196" s="72" t="s">
        <v>421</v>
      </c>
      <c r="B196" s="83" t="s">
        <v>422</v>
      </c>
      <c r="C196" s="83" t="s">
        <v>39</v>
      </c>
      <c r="D196" s="83" t="s">
        <v>17</v>
      </c>
      <c r="E196" s="83" t="s">
        <v>45</v>
      </c>
      <c r="F196" s="83" t="s">
        <v>42</v>
      </c>
      <c r="G196" s="84">
        <v>1769.14</v>
      </c>
      <c r="H196" s="85">
        <v>46</v>
      </c>
      <c r="I196" s="76">
        <v>69.400000000000006</v>
      </c>
      <c r="J196" s="85">
        <v>450</v>
      </c>
      <c r="K196" s="84">
        <v>796113</v>
      </c>
      <c r="L196" s="86">
        <v>45999</v>
      </c>
      <c r="M196" s="85" t="str">
        <f t="shared" si="6"/>
        <v>At Risk</v>
      </c>
      <c r="N196" s="85" t="str">
        <f t="shared" si="7"/>
        <v>Premium</v>
      </c>
    </row>
    <row r="197" spans="1:14" ht="16.5" x14ac:dyDescent="0.2">
      <c r="A197" s="126" t="s">
        <v>423</v>
      </c>
      <c r="B197" s="78" t="s">
        <v>424</v>
      </c>
      <c r="C197" s="78" t="s">
        <v>30</v>
      </c>
      <c r="D197" s="78" t="s">
        <v>40</v>
      </c>
      <c r="E197" s="78" t="s">
        <v>58</v>
      </c>
      <c r="F197" s="78" t="s">
        <v>1072</v>
      </c>
      <c r="G197" s="79">
        <v>774.41</v>
      </c>
      <c r="H197" s="80">
        <v>30</v>
      </c>
      <c r="I197" s="81">
        <v>60.5</v>
      </c>
      <c r="J197" s="80">
        <v>240</v>
      </c>
      <c r="K197" s="79">
        <v>185858.4</v>
      </c>
      <c r="L197" s="82">
        <v>45799</v>
      </c>
      <c r="M197" s="80" t="str">
        <f t="shared" si="6"/>
        <v>At Risk</v>
      </c>
      <c r="N197" s="80" t="str">
        <f t="shared" si="7"/>
        <v>High</v>
      </c>
    </row>
    <row r="198" spans="1:14" ht="16.5" x14ac:dyDescent="0.2">
      <c r="A198" s="72" t="s">
        <v>425</v>
      </c>
      <c r="B198" s="83" t="s">
        <v>426</v>
      </c>
      <c r="C198" s="83" t="s">
        <v>16</v>
      </c>
      <c r="D198" s="83" t="s">
        <v>17</v>
      </c>
      <c r="E198" s="83" t="s">
        <v>31</v>
      </c>
      <c r="F198" s="83" t="s">
        <v>19</v>
      </c>
      <c r="G198" s="84">
        <v>698.12</v>
      </c>
      <c r="H198" s="85">
        <v>27</v>
      </c>
      <c r="I198" s="76">
        <v>66.2</v>
      </c>
      <c r="J198" s="85">
        <v>453</v>
      </c>
      <c r="K198" s="84">
        <v>316248.36</v>
      </c>
      <c r="L198" s="86">
        <v>45619</v>
      </c>
      <c r="M198" s="85" t="str">
        <f t="shared" si="6"/>
        <v>At Risk</v>
      </c>
      <c r="N198" s="85" t="str">
        <f t="shared" si="7"/>
        <v>High</v>
      </c>
    </row>
    <row r="199" spans="1:14" ht="16.5" x14ac:dyDescent="0.2">
      <c r="A199" s="126" t="s">
        <v>427</v>
      </c>
      <c r="B199" s="78" t="s">
        <v>428</v>
      </c>
      <c r="C199" s="78" t="s">
        <v>30</v>
      </c>
      <c r="D199" s="78" t="s">
        <v>17</v>
      </c>
      <c r="E199" s="78" t="s">
        <v>45</v>
      </c>
      <c r="F199" s="78" t="s">
        <v>1072</v>
      </c>
      <c r="G199" s="79">
        <v>1096.8800000000001</v>
      </c>
      <c r="H199" s="80">
        <v>33</v>
      </c>
      <c r="I199" s="81">
        <v>76</v>
      </c>
      <c r="J199" s="80">
        <v>460</v>
      </c>
      <c r="K199" s="79">
        <v>504564.8</v>
      </c>
      <c r="L199" s="82">
        <v>45923</v>
      </c>
      <c r="M199" s="80" t="str">
        <f t="shared" si="6"/>
        <v>At Risk</v>
      </c>
      <c r="N199" s="80" t="str">
        <f t="shared" si="7"/>
        <v>Premium</v>
      </c>
    </row>
    <row r="200" spans="1:14" ht="16.5" x14ac:dyDescent="0.2">
      <c r="A200" s="72" t="s">
        <v>429</v>
      </c>
      <c r="B200" s="83" t="s">
        <v>430</v>
      </c>
      <c r="C200" s="83" t="s">
        <v>16</v>
      </c>
      <c r="D200" s="83" t="s">
        <v>34</v>
      </c>
      <c r="E200" s="83" t="s">
        <v>51</v>
      </c>
      <c r="F200" s="83" t="s">
        <v>19</v>
      </c>
      <c r="G200" s="84">
        <v>775.01</v>
      </c>
      <c r="H200" s="85">
        <v>14</v>
      </c>
      <c r="I200" s="76">
        <v>81.3</v>
      </c>
      <c r="J200" s="85">
        <v>34</v>
      </c>
      <c r="K200" s="84">
        <v>26350.34</v>
      </c>
      <c r="L200" s="86">
        <v>45395</v>
      </c>
      <c r="M200" s="85" t="str">
        <f t="shared" si="6"/>
        <v>At Risk</v>
      </c>
      <c r="N200" s="85" t="str">
        <f t="shared" si="7"/>
        <v>High</v>
      </c>
    </row>
    <row r="201" spans="1:14" ht="16.5" x14ac:dyDescent="0.2">
      <c r="A201" s="126" t="s">
        <v>431</v>
      </c>
      <c r="B201" s="78" t="s">
        <v>432</v>
      </c>
      <c r="C201" s="78" t="s">
        <v>25</v>
      </c>
      <c r="D201" s="78" t="s">
        <v>34</v>
      </c>
      <c r="E201" s="78" t="s">
        <v>51</v>
      </c>
      <c r="F201" s="78" t="s">
        <v>27</v>
      </c>
      <c r="G201" s="79">
        <v>24.29</v>
      </c>
      <c r="H201" s="80">
        <v>1</v>
      </c>
      <c r="I201" s="81">
        <v>93.1</v>
      </c>
      <c r="J201" s="80">
        <v>230</v>
      </c>
      <c r="K201" s="79">
        <v>5586.7</v>
      </c>
      <c r="L201" s="82">
        <v>45566</v>
      </c>
      <c r="M201" s="80" t="str">
        <f t="shared" si="6"/>
        <v>OK</v>
      </c>
      <c r="N201" s="80" t="str">
        <f t="shared" si="7"/>
        <v>Low</v>
      </c>
    </row>
    <row r="202" spans="1:14" ht="16.5" x14ac:dyDescent="0.2">
      <c r="A202" s="72" t="s">
        <v>433</v>
      </c>
      <c r="B202" s="83" t="s">
        <v>434</v>
      </c>
      <c r="C202" s="83" t="s">
        <v>39</v>
      </c>
      <c r="D202" s="83" t="s">
        <v>40</v>
      </c>
      <c r="E202" s="83" t="s">
        <v>31</v>
      </c>
      <c r="F202" s="83" t="s">
        <v>42</v>
      </c>
      <c r="G202" s="84">
        <v>540.44000000000005</v>
      </c>
      <c r="H202" s="85">
        <v>36</v>
      </c>
      <c r="I202" s="76">
        <v>63.8</v>
      </c>
      <c r="J202" s="85">
        <v>293</v>
      </c>
      <c r="K202" s="84">
        <v>158348.92000000001</v>
      </c>
      <c r="L202" s="86">
        <v>45883</v>
      </c>
      <c r="M202" s="85" t="str">
        <f t="shared" si="6"/>
        <v>At Risk</v>
      </c>
      <c r="N202" s="85" t="str">
        <f t="shared" si="7"/>
        <v>High</v>
      </c>
    </row>
    <row r="203" spans="1:14" ht="16.5" x14ac:dyDescent="0.2">
      <c r="A203" s="126" t="s">
        <v>435</v>
      </c>
      <c r="B203" s="78" t="s">
        <v>436</v>
      </c>
      <c r="C203" s="78" t="s">
        <v>25</v>
      </c>
      <c r="D203" s="78" t="s">
        <v>40</v>
      </c>
      <c r="E203" s="78" t="s">
        <v>18</v>
      </c>
      <c r="F203" s="78" t="s">
        <v>27</v>
      </c>
      <c r="G203" s="79">
        <v>66.37</v>
      </c>
      <c r="H203" s="80">
        <v>40</v>
      </c>
      <c r="I203" s="81">
        <v>85.6</v>
      </c>
      <c r="J203" s="80">
        <v>70</v>
      </c>
      <c r="K203" s="79">
        <v>4645.8999999999996</v>
      </c>
      <c r="L203" s="82">
        <v>45555</v>
      </c>
      <c r="M203" s="80" t="str">
        <f t="shared" si="6"/>
        <v>Monitor</v>
      </c>
      <c r="N203" s="80" t="str">
        <f t="shared" si="7"/>
        <v>Medium</v>
      </c>
    </row>
    <row r="204" spans="1:14" ht="16.5" x14ac:dyDescent="0.2">
      <c r="A204" s="72" t="s">
        <v>437</v>
      </c>
      <c r="B204" s="83" t="s">
        <v>438</v>
      </c>
      <c r="C204" s="83" t="s">
        <v>30</v>
      </c>
      <c r="D204" s="83" t="s">
        <v>34</v>
      </c>
      <c r="E204" s="83" t="s">
        <v>41</v>
      </c>
      <c r="F204" s="83" t="s">
        <v>1072</v>
      </c>
      <c r="G204" s="84">
        <v>1204.0999999999999</v>
      </c>
      <c r="H204" s="85">
        <v>24</v>
      </c>
      <c r="I204" s="76">
        <v>89</v>
      </c>
      <c r="J204" s="85">
        <v>111</v>
      </c>
      <c r="K204" s="84">
        <v>133655.1</v>
      </c>
      <c r="L204" s="86">
        <v>46334</v>
      </c>
      <c r="M204" s="85" t="str">
        <f t="shared" si="6"/>
        <v>Monitor</v>
      </c>
      <c r="N204" s="85" t="str">
        <f t="shared" si="7"/>
        <v>Premium</v>
      </c>
    </row>
    <row r="205" spans="1:14" ht="16.5" x14ac:dyDescent="0.2">
      <c r="A205" s="126" t="s">
        <v>439</v>
      </c>
      <c r="B205" s="78" t="s">
        <v>440</v>
      </c>
      <c r="C205" s="78" t="s">
        <v>16</v>
      </c>
      <c r="D205" s="78" t="s">
        <v>17</v>
      </c>
      <c r="E205" s="78" t="s">
        <v>45</v>
      </c>
      <c r="F205" s="78" t="s">
        <v>19</v>
      </c>
      <c r="G205" s="79">
        <v>585.19000000000005</v>
      </c>
      <c r="H205" s="80">
        <v>52</v>
      </c>
      <c r="I205" s="81">
        <v>76.3</v>
      </c>
      <c r="J205" s="80">
        <v>243</v>
      </c>
      <c r="K205" s="79">
        <v>142201.17000000001</v>
      </c>
      <c r="L205" s="82">
        <v>45597</v>
      </c>
      <c r="M205" s="80" t="str">
        <f t="shared" si="6"/>
        <v>At Risk</v>
      </c>
      <c r="N205" s="80" t="str">
        <f t="shared" si="7"/>
        <v>High</v>
      </c>
    </row>
    <row r="206" spans="1:14" ht="16.5" x14ac:dyDescent="0.2">
      <c r="A206" s="72" t="s">
        <v>441</v>
      </c>
      <c r="B206" s="83" t="s">
        <v>442</v>
      </c>
      <c r="C206" s="83" t="s">
        <v>48</v>
      </c>
      <c r="D206" s="83" t="s">
        <v>40</v>
      </c>
      <c r="E206" s="83" t="s">
        <v>41</v>
      </c>
      <c r="F206" s="83" t="s">
        <v>1073</v>
      </c>
      <c r="G206" s="84">
        <v>23.69</v>
      </c>
      <c r="H206" s="85">
        <v>40</v>
      </c>
      <c r="I206" s="76">
        <v>88.3</v>
      </c>
      <c r="J206" s="85">
        <v>163</v>
      </c>
      <c r="K206" s="84">
        <v>3861.47</v>
      </c>
      <c r="L206" s="86">
        <v>45980</v>
      </c>
      <c r="M206" s="85" t="str">
        <f t="shared" si="6"/>
        <v>Monitor</v>
      </c>
      <c r="N206" s="85" t="str">
        <f t="shared" si="7"/>
        <v>Low</v>
      </c>
    </row>
    <row r="207" spans="1:14" ht="16.5" x14ac:dyDescent="0.2">
      <c r="A207" s="126" t="s">
        <v>443</v>
      </c>
      <c r="B207" s="78" t="s">
        <v>444</v>
      </c>
      <c r="C207" s="78" t="s">
        <v>25</v>
      </c>
      <c r="D207" s="78" t="s">
        <v>40</v>
      </c>
      <c r="E207" s="78" t="s">
        <v>18</v>
      </c>
      <c r="F207" s="78" t="s">
        <v>27</v>
      </c>
      <c r="G207" s="79">
        <v>39.04</v>
      </c>
      <c r="H207" s="80">
        <v>2</v>
      </c>
      <c r="I207" s="81">
        <v>71.599999999999994</v>
      </c>
      <c r="J207" s="80">
        <v>354</v>
      </c>
      <c r="K207" s="79">
        <v>13820.16</v>
      </c>
      <c r="L207" s="82">
        <v>45516</v>
      </c>
      <c r="M207" s="80" t="str">
        <f t="shared" si="6"/>
        <v>At Risk</v>
      </c>
      <c r="N207" s="80" t="str">
        <f t="shared" si="7"/>
        <v>Low</v>
      </c>
    </row>
    <row r="208" spans="1:14" ht="16.5" x14ac:dyDescent="0.2">
      <c r="A208" s="72" t="s">
        <v>445</v>
      </c>
      <c r="B208" s="83" t="s">
        <v>446</v>
      </c>
      <c r="C208" s="83" t="s">
        <v>30</v>
      </c>
      <c r="D208" s="83" t="s">
        <v>34</v>
      </c>
      <c r="E208" s="83" t="s">
        <v>26</v>
      </c>
      <c r="F208" s="83" t="s">
        <v>1072</v>
      </c>
      <c r="G208" s="84">
        <v>1274.44</v>
      </c>
      <c r="H208" s="85">
        <v>17</v>
      </c>
      <c r="I208" s="76">
        <v>98.5</v>
      </c>
      <c r="J208" s="85">
        <v>410</v>
      </c>
      <c r="K208" s="84">
        <v>522520.4</v>
      </c>
      <c r="L208" s="86">
        <v>45758</v>
      </c>
      <c r="M208" s="85" t="str">
        <f t="shared" si="6"/>
        <v>OK</v>
      </c>
      <c r="N208" s="85" t="str">
        <f t="shared" si="7"/>
        <v>Premium</v>
      </c>
    </row>
    <row r="209" spans="1:14" ht="16.5" x14ac:dyDescent="0.2">
      <c r="A209" s="126" t="s">
        <v>447</v>
      </c>
      <c r="B209" s="78" t="s">
        <v>448</v>
      </c>
      <c r="C209" s="78" t="s">
        <v>39</v>
      </c>
      <c r="D209" s="78" t="s">
        <v>17</v>
      </c>
      <c r="E209" s="78" t="s">
        <v>31</v>
      </c>
      <c r="F209" s="78" t="s">
        <v>42</v>
      </c>
      <c r="G209" s="79">
        <v>994.55</v>
      </c>
      <c r="H209" s="80">
        <v>44</v>
      </c>
      <c r="I209" s="81">
        <v>65.900000000000006</v>
      </c>
      <c r="J209" s="80">
        <v>303</v>
      </c>
      <c r="K209" s="79">
        <v>301348.65000000002</v>
      </c>
      <c r="L209" s="82">
        <v>45517</v>
      </c>
      <c r="M209" s="80" t="str">
        <f t="shared" si="6"/>
        <v>At Risk</v>
      </c>
      <c r="N209" s="80" t="str">
        <f t="shared" si="7"/>
        <v>High</v>
      </c>
    </row>
    <row r="210" spans="1:14" ht="16.5" x14ac:dyDescent="0.2">
      <c r="A210" s="72" t="s">
        <v>449</v>
      </c>
      <c r="B210" s="83" t="s">
        <v>450</v>
      </c>
      <c r="C210" s="83" t="s">
        <v>39</v>
      </c>
      <c r="D210" s="83" t="s">
        <v>40</v>
      </c>
      <c r="E210" s="83" t="s">
        <v>45</v>
      </c>
      <c r="F210" s="83" t="s">
        <v>42</v>
      </c>
      <c r="G210" s="84">
        <v>2240.91</v>
      </c>
      <c r="H210" s="85">
        <v>14</v>
      </c>
      <c r="I210" s="76">
        <v>73.5</v>
      </c>
      <c r="J210" s="85">
        <v>406</v>
      </c>
      <c r="K210" s="84">
        <v>909809.46</v>
      </c>
      <c r="L210" s="86">
        <v>46257</v>
      </c>
      <c r="M210" s="85" t="str">
        <f t="shared" si="6"/>
        <v>At Risk</v>
      </c>
      <c r="N210" s="85" t="str">
        <f t="shared" si="7"/>
        <v>Premium</v>
      </c>
    </row>
    <row r="211" spans="1:14" ht="16.5" x14ac:dyDescent="0.2">
      <c r="A211" s="126" t="s">
        <v>451</v>
      </c>
      <c r="B211" s="78" t="s">
        <v>452</v>
      </c>
      <c r="C211" s="78" t="s">
        <v>25</v>
      </c>
      <c r="D211" s="78" t="s">
        <v>17</v>
      </c>
      <c r="E211" s="78" t="s">
        <v>41</v>
      </c>
      <c r="F211" s="78" t="s">
        <v>27</v>
      </c>
      <c r="G211" s="79">
        <v>79.849999999999994</v>
      </c>
      <c r="H211" s="80">
        <v>31</v>
      </c>
      <c r="I211" s="81">
        <v>78.599999999999994</v>
      </c>
      <c r="J211" s="80">
        <v>170</v>
      </c>
      <c r="K211" s="79">
        <v>13574.5</v>
      </c>
      <c r="L211" s="82">
        <v>45646</v>
      </c>
      <c r="M211" s="80" t="str">
        <f t="shared" si="6"/>
        <v>At Risk</v>
      </c>
      <c r="N211" s="80" t="str">
        <f t="shared" si="7"/>
        <v>Medium</v>
      </c>
    </row>
    <row r="212" spans="1:14" ht="16.5" x14ac:dyDescent="0.2">
      <c r="A212" s="72" t="s">
        <v>453</v>
      </c>
      <c r="B212" s="83" t="s">
        <v>454</v>
      </c>
      <c r="C212" s="83" t="s">
        <v>30</v>
      </c>
      <c r="D212" s="83" t="s">
        <v>40</v>
      </c>
      <c r="E212" s="83" t="s">
        <v>18</v>
      </c>
      <c r="F212" s="83" t="s">
        <v>1072</v>
      </c>
      <c r="G212" s="84">
        <v>1298.1400000000001</v>
      </c>
      <c r="H212" s="85">
        <v>13</v>
      </c>
      <c r="I212" s="76">
        <v>98.1</v>
      </c>
      <c r="J212" s="85">
        <v>152</v>
      </c>
      <c r="K212" s="84">
        <v>197317.28</v>
      </c>
      <c r="L212" s="86">
        <v>45903</v>
      </c>
      <c r="M212" s="85" t="str">
        <f t="shared" si="6"/>
        <v>OK</v>
      </c>
      <c r="N212" s="85" t="str">
        <f t="shared" si="7"/>
        <v>Premium</v>
      </c>
    </row>
    <row r="213" spans="1:14" ht="16.5" x14ac:dyDescent="0.2">
      <c r="A213" s="126" t="s">
        <v>455</v>
      </c>
      <c r="B213" s="78" t="s">
        <v>456</v>
      </c>
      <c r="C213" s="78" t="s">
        <v>30</v>
      </c>
      <c r="D213" s="78" t="s">
        <v>40</v>
      </c>
      <c r="E213" s="78" t="s">
        <v>51</v>
      </c>
      <c r="F213" s="78" t="s">
        <v>1072</v>
      </c>
      <c r="G213" s="79">
        <v>770.67</v>
      </c>
      <c r="H213" s="80">
        <v>23</v>
      </c>
      <c r="I213" s="81">
        <v>80.2</v>
      </c>
      <c r="J213" s="80">
        <v>488</v>
      </c>
      <c r="K213" s="79">
        <v>376086.96</v>
      </c>
      <c r="L213" s="82">
        <v>45852</v>
      </c>
      <c r="M213" s="80" t="str">
        <f t="shared" si="6"/>
        <v>At Risk</v>
      </c>
      <c r="N213" s="80" t="str">
        <f t="shared" si="7"/>
        <v>High</v>
      </c>
    </row>
    <row r="214" spans="1:14" ht="16.5" x14ac:dyDescent="0.2">
      <c r="A214" s="72" t="s">
        <v>457</v>
      </c>
      <c r="B214" s="83" t="s">
        <v>458</v>
      </c>
      <c r="C214" s="83" t="s">
        <v>25</v>
      </c>
      <c r="D214" s="83" t="s">
        <v>40</v>
      </c>
      <c r="E214" s="83" t="s">
        <v>31</v>
      </c>
      <c r="F214" s="83" t="s">
        <v>27</v>
      </c>
      <c r="G214" s="84">
        <v>71.87</v>
      </c>
      <c r="H214" s="85">
        <v>26</v>
      </c>
      <c r="I214" s="76">
        <v>91.8</v>
      </c>
      <c r="J214" s="85">
        <v>498</v>
      </c>
      <c r="K214" s="84">
        <v>35791.26</v>
      </c>
      <c r="L214" s="86">
        <v>45591</v>
      </c>
      <c r="M214" s="85" t="str">
        <f t="shared" si="6"/>
        <v>Monitor</v>
      </c>
      <c r="N214" s="85" t="str">
        <f t="shared" si="7"/>
        <v>Medium</v>
      </c>
    </row>
    <row r="215" spans="1:14" ht="16.5" x14ac:dyDescent="0.2">
      <c r="A215" s="126" t="s">
        <v>459</v>
      </c>
      <c r="B215" s="78" t="s">
        <v>460</v>
      </c>
      <c r="C215" s="78" t="s">
        <v>30</v>
      </c>
      <c r="D215" s="78" t="s">
        <v>34</v>
      </c>
      <c r="E215" s="78" t="s">
        <v>58</v>
      </c>
      <c r="F215" s="78" t="s">
        <v>1072</v>
      </c>
      <c r="G215" s="79">
        <v>823.45</v>
      </c>
      <c r="H215" s="80">
        <v>29</v>
      </c>
      <c r="I215" s="81">
        <v>84.5</v>
      </c>
      <c r="J215" s="80">
        <v>392</v>
      </c>
      <c r="K215" s="79">
        <v>322792.40000000002</v>
      </c>
      <c r="L215" s="82">
        <v>46273</v>
      </c>
      <c r="M215" s="80" t="str">
        <f t="shared" si="6"/>
        <v>At Risk</v>
      </c>
      <c r="N215" s="80" t="str">
        <f t="shared" si="7"/>
        <v>High</v>
      </c>
    </row>
    <row r="216" spans="1:14" ht="16.5" x14ac:dyDescent="0.2">
      <c r="A216" s="72" t="s">
        <v>461</v>
      </c>
      <c r="B216" s="83" t="s">
        <v>462</v>
      </c>
      <c r="C216" s="83" t="s">
        <v>25</v>
      </c>
      <c r="D216" s="83" t="s">
        <v>17</v>
      </c>
      <c r="E216" s="83" t="s">
        <v>18</v>
      </c>
      <c r="F216" s="83" t="s">
        <v>27</v>
      </c>
      <c r="G216" s="84">
        <v>12.71</v>
      </c>
      <c r="H216" s="85">
        <v>40</v>
      </c>
      <c r="I216" s="76">
        <v>88.3</v>
      </c>
      <c r="J216" s="85">
        <v>132</v>
      </c>
      <c r="K216" s="84">
        <v>1677.72</v>
      </c>
      <c r="L216" s="86">
        <v>45788</v>
      </c>
      <c r="M216" s="85" t="str">
        <f t="shared" si="6"/>
        <v>Monitor</v>
      </c>
      <c r="N216" s="85" t="str">
        <f t="shared" si="7"/>
        <v>Low</v>
      </c>
    </row>
    <row r="217" spans="1:14" ht="16.5" x14ac:dyDescent="0.2">
      <c r="A217" s="126" t="s">
        <v>463</v>
      </c>
      <c r="B217" s="78" t="s">
        <v>464</v>
      </c>
      <c r="C217" s="78" t="s">
        <v>48</v>
      </c>
      <c r="D217" s="78" t="s">
        <v>40</v>
      </c>
      <c r="E217" s="78" t="s">
        <v>26</v>
      </c>
      <c r="F217" s="78" t="s">
        <v>1073</v>
      </c>
      <c r="G217" s="79">
        <v>16.52</v>
      </c>
      <c r="H217" s="80">
        <v>22</v>
      </c>
      <c r="I217" s="81">
        <v>87.3</v>
      </c>
      <c r="J217" s="80">
        <v>61</v>
      </c>
      <c r="K217" s="79">
        <v>1007.72</v>
      </c>
      <c r="L217" s="82">
        <v>45573</v>
      </c>
      <c r="M217" s="80" t="str">
        <f t="shared" si="6"/>
        <v>Monitor</v>
      </c>
      <c r="N217" s="80" t="str">
        <f t="shared" si="7"/>
        <v>Low</v>
      </c>
    </row>
    <row r="218" spans="1:14" ht="16.5" x14ac:dyDescent="0.2">
      <c r="A218" s="72" t="s">
        <v>465</v>
      </c>
      <c r="B218" s="83" t="s">
        <v>466</v>
      </c>
      <c r="C218" s="83" t="s">
        <v>48</v>
      </c>
      <c r="D218" s="83" t="s">
        <v>40</v>
      </c>
      <c r="E218" s="83" t="s">
        <v>51</v>
      </c>
      <c r="F218" s="83" t="s">
        <v>1073</v>
      </c>
      <c r="G218" s="84">
        <v>59.91</v>
      </c>
      <c r="H218" s="85">
        <v>13</v>
      </c>
      <c r="I218" s="76">
        <v>89</v>
      </c>
      <c r="J218" s="85">
        <v>157</v>
      </c>
      <c r="K218" s="84">
        <v>9405.8700000000008</v>
      </c>
      <c r="L218" s="86">
        <v>45949</v>
      </c>
      <c r="M218" s="85" t="str">
        <f t="shared" si="6"/>
        <v>Monitor</v>
      </c>
      <c r="N218" s="85" t="str">
        <f t="shared" si="7"/>
        <v>Medium</v>
      </c>
    </row>
    <row r="219" spans="1:14" ht="16.5" x14ac:dyDescent="0.2">
      <c r="A219" s="126" t="s">
        <v>467</v>
      </c>
      <c r="B219" s="78" t="s">
        <v>468</v>
      </c>
      <c r="C219" s="78" t="s">
        <v>16</v>
      </c>
      <c r="D219" s="78" t="s">
        <v>40</v>
      </c>
      <c r="E219" s="78" t="s">
        <v>22</v>
      </c>
      <c r="F219" s="78" t="s">
        <v>19</v>
      </c>
      <c r="G219" s="79">
        <v>451.36</v>
      </c>
      <c r="H219" s="80">
        <v>47</v>
      </c>
      <c r="I219" s="81">
        <v>93.3</v>
      </c>
      <c r="J219" s="80">
        <v>29</v>
      </c>
      <c r="K219" s="79">
        <v>13089.44</v>
      </c>
      <c r="L219" s="82">
        <v>45650</v>
      </c>
      <c r="M219" s="80" t="str">
        <f t="shared" si="6"/>
        <v>OK</v>
      </c>
      <c r="N219" s="80" t="str">
        <f t="shared" si="7"/>
        <v>High</v>
      </c>
    </row>
    <row r="220" spans="1:14" ht="16.5" x14ac:dyDescent="0.2">
      <c r="A220" s="72" t="s">
        <v>469</v>
      </c>
      <c r="B220" s="83" t="s">
        <v>470</v>
      </c>
      <c r="C220" s="83" t="s">
        <v>16</v>
      </c>
      <c r="D220" s="83" t="s">
        <v>34</v>
      </c>
      <c r="E220" s="83" t="s">
        <v>31</v>
      </c>
      <c r="F220" s="83" t="s">
        <v>19</v>
      </c>
      <c r="G220" s="84">
        <v>640.97</v>
      </c>
      <c r="H220" s="85">
        <v>12</v>
      </c>
      <c r="I220" s="76">
        <v>97.1</v>
      </c>
      <c r="J220" s="85">
        <v>456</v>
      </c>
      <c r="K220" s="84">
        <v>292282.32</v>
      </c>
      <c r="L220" s="86">
        <v>45884</v>
      </c>
      <c r="M220" s="85" t="str">
        <f t="shared" si="6"/>
        <v>OK</v>
      </c>
      <c r="N220" s="85" t="str">
        <f t="shared" si="7"/>
        <v>High</v>
      </c>
    </row>
    <row r="221" spans="1:14" ht="16.5" x14ac:dyDescent="0.2">
      <c r="A221" s="126" t="s">
        <v>471</v>
      </c>
      <c r="B221" s="78" t="s">
        <v>472</v>
      </c>
      <c r="C221" s="78" t="s">
        <v>30</v>
      </c>
      <c r="D221" s="78" t="s">
        <v>40</v>
      </c>
      <c r="E221" s="78" t="s">
        <v>58</v>
      </c>
      <c r="F221" s="78" t="s">
        <v>1072</v>
      </c>
      <c r="G221" s="79">
        <v>1871.22</v>
      </c>
      <c r="H221" s="80">
        <v>22</v>
      </c>
      <c r="I221" s="81">
        <v>67.8</v>
      </c>
      <c r="J221" s="80">
        <v>338</v>
      </c>
      <c r="K221" s="79">
        <v>632472.36</v>
      </c>
      <c r="L221" s="82">
        <v>46365</v>
      </c>
      <c r="M221" s="80" t="str">
        <f t="shared" si="6"/>
        <v>At Risk</v>
      </c>
      <c r="N221" s="80" t="str">
        <f t="shared" si="7"/>
        <v>Premium</v>
      </c>
    </row>
    <row r="222" spans="1:14" ht="16.5" x14ac:dyDescent="0.2">
      <c r="A222" s="72" t="s">
        <v>473</v>
      </c>
      <c r="B222" s="83" t="s">
        <v>474</v>
      </c>
      <c r="C222" s="83" t="s">
        <v>25</v>
      </c>
      <c r="D222" s="83" t="s">
        <v>40</v>
      </c>
      <c r="E222" s="83" t="s">
        <v>22</v>
      </c>
      <c r="F222" s="83" t="s">
        <v>27</v>
      </c>
      <c r="G222" s="84">
        <v>65.09</v>
      </c>
      <c r="H222" s="85">
        <v>22</v>
      </c>
      <c r="I222" s="76">
        <v>62.3</v>
      </c>
      <c r="J222" s="85">
        <v>244</v>
      </c>
      <c r="K222" s="84">
        <v>15881.96</v>
      </c>
      <c r="L222" s="86">
        <v>45818</v>
      </c>
      <c r="M222" s="85" t="str">
        <f t="shared" si="6"/>
        <v>At Risk</v>
      </c>
      <c r="N222" s="85" t="str">
        <f t="shared" si="7"/>
        <v>Medium</v>
      </c>
    </row>
    <row r="223" spans="1:14" ht="16.5" x14ac:dyDescent="0.2">
      <c r="A223" s="126" t="s">
        <v>475</v>
      </c>
      <c r="B223" s="78" t="s">
        <v>476</v>
      </c>
      <c r="C223" s="78" t="s">
        <v>30</v>
      </c>
      <c r="D223" s="78" t="s">
        <v>34</v>
      </c>
      <c r="E223" s="78" t="s">
        <v>22</v>
      </c>
      <c r="F223" s="78" t="s">
        <v>1072</v>
      </c>
      <c r="G223" s="79">
        <v>515.89</v>
      </c>
      <c r="H223" s="80">
        <v>55</v>
      </c>
      <c r="I223" s="81">
        <v>83.7</v>
      </c>
      <c r="J223" s="80">
        <v>217</v>
      </c>
      <c r="K223" s="79">
        <v>111948.13</v>
      </c>
      <c r="L223" s="82">
        <v>46167</v>
      </c>
      <c r="M223" s="80" t="str">
        <f t="shared" si="6"/>
        <v>At Risk</v>
      </c>
      <c r="N223" s="80" t="str">
        <f t="shared" si="7"/>
        <v>High</v>
      </c>
    </row>
    <row r="224" spans="1:14" ht="16.5" x14ac:dyDescent="0.2">
      <c r="A224" s="72" t="s">
        <v>477</v>
      </c>
      <c r="B224" s="83" t="s">
        <v>478</v>
      </c>
      <c r="C224" s="83" t="s">
        <v>16</v>
      </c>
      <c r="D224" s="83" t="s">
        <v>40</v>
      </c>
      <c r="E224" s="83" t="s">
        <v>58</v>
      </c>
      <c r="F224" s="83" t="s">
        <v>19</v>
      </c>
      <c r="G224" s="84">
        <v>188.59</v>
      </c>
      <c r="H224" s="85">
        <v>9</v>
      </c>
      <c r="I224" s="76">
        <v>76.5</v>
      </c>
      <c r="J224" s="85">
        <v>489</v>
      </c>
      <c r="K224" s="84">
        <v>92220.51</v>
      </c>
      <c r="L224" s="86">
        <v>45800</v>
      </c>
      <c r="M224" s="85" t="str">
        <f t="shared" si="6"/>
        <v>At Risk</v>
      </c>
      <c r="N224" s="85" t="str">
        <f t="shared" si="7"/>
        <v>Medium</v>
      </c>
    </row>
    <row r="225" spans="1:14" ht="16.5" x14ac:dyDescent="0.2">
      <c r="A225" s="126" t="s">
        <v>479</v>
      </c>
      <c r="B225" s="78" t="s">
        <v>480</v>
      </c>
      <c r="C225" s="78" t="s">
        <v>39</v>
      </c>
      <c r="D225" s="78" t="s">
        <v>17</v>
      </c>
      <c r="E225" s="78" t="s">
        <v>18</v>
      </c>
      <c r="F225" s="78" t="s">
        <v>42</v>
      </c>
      <c r="G225" s="79">
        <v>4783.96</v>
      </c>
      <c r="H225" s="80">
        <v>20</v>
      </c>
      <c r="I225" s="81">
        <v>81.2</v>
      </c>
      <c r="J225" s="80">
        <v>303</v>
      </c>
      <c r="K225" s="79">
        <v>1449539.88</v>
      </c>
      <c r="L225" s="82">
        <v>45315</v>
      </c>
      <c r="M225" s="80" t="str">
        <f t="shared" si="6"/>
        <v>At Risk</v>
      </c>
      <c r="N225" s="80" t="str">
        <f t="shared" si="7"/>
        <v>Premium</v>
      </c>
    </row>
    <row r="226" spans="1:14" ht="16.5" x14ac:dyDescent="0.2">
      <c r="A226" s="72" t="s">
        <v>481</v>
      </c>
      <c r="B226" s="83" t="s">
        <v>482</v>
      </c>
      <c r="C226" s="83" t="s">
        <v>48</v>
      </c>
      <c r="D226" s="83" t="s">
        <v>17</v>
      </c>
      <c r="E226" s="83" t="s">
        <v>58</v>
      </c>
      <c r="F226" s="83" t="s">
        <v>1073</v>
      </c>
      <c r="G226" s="84">
        <v>58.52</v>
      </c>
      <c r="H226" s="85">
        <v>11</v>
      </c>
      <c r="I226" s="76">
        <v>73.2</v>
      </c>
      <c r="J226" s="85">
        <v>267</v>
      </c>
      <c r="K226" s="84">
        <v>15624.84</v>
      </c>
      <c r="L226" s="86">
        <v>45928</v>
      </c>
      <c r="M226" s="85" t="str">
        <f t="shared" si="6"/>
        <v>At Risk</v>
      </c>
      <c r="N226" s="85" t="str">
        <f t="shared" si="7"/>
        <v>Medium</v>
      </c>
    </row>
    <row r="227" spans="1:14" ht="16.5" x14ac:dyDescent="0.2">
      <c r="A227" s="126" t="s">
        <v>483</v>
      </c>
      <c r="B227" s="78" t="s">
        <v>484</v>
      </c>
      <c r="C227" s="78" t="s">
        <v>30</v>
      </c>
      <c r="D227" s="78" t="s">
        <v>40</v>
      </c>
      <c r="E227" s="78" t="s">
        <v>22</v>
      </c>
      <c r="F227" s="78" t="s">
        <v>1072</v>
      </c>
      <c r="G227" s="79">
        <v>1923.25</v>
      </c>
      <c r="H227" s="80">
        <v>31</v>
      </c>
      <c r="I227" s="81">
        <v>61.9</v>
      </c>
      <c r="J227" s="80">
        <v>392</v>
      </c>
      <c r="K227" s="79">
        <v>753914</v>
      </c>
      <c r="L227" s="82">
        <v>46057</v>
      </c>
      <c r="M227" s="80" t="str">
        <f t="shared" si="6"/>
        <v>At Risk</v>
      </c>
      <c r="N227" s="80" t="str">
        <f t="shared" si="7"/>
        <v>Premium</v>
      </c>
    </row>
    <row r="228" spans="1:14" ht="16.5" x14ac:dyDescent="0.2">
      <c r="A228" s="72" t="s">
        <v>485</v>
      </c>
      <c r="B228" s="83" t="s">
        <v>486</v>
      </c>
      <c r="C228" s="83" t="s">
        <v>39</v>
      </c>
      <c r="D228" s="83" t="s">
        <v>34</v>
      </c>
      <c r="E228" s="83" t="s">
        <v>22</v>
      </c>
      <c r="F228" s="83" t="s">
        <v>42</v>
      </c>
      <c r="G228" s="84">
        <v>3880.74</v>
      </c>
      <c r="H228" s="85">
        <v>44</v>
      </c>
      <c r="I228" s="76">
        <v>89</v>
      </c>
      <c r="J228" s="85">
        <v>457</v>
      </c>
      <c r="K228" s="84">
        <v>1773498.18</v>
      </c>
      <c r="L228" s="86">
        <v>45459</v>
      </c>
      <c r="M228" s="85" t="str">
        <f t="shared" si="6"/>
        <v>Monitor</v>
      </c>
      <c r="N228" s="85" t="str">
        <f t="shared" si="7"/>
        <v>Premium</v>
      </c>
    </row>
    <row r="229" spans="1:14" ht="16.5" x14ac:dyDescent="0.2">
      <c r="A229" s="126" t="s">
        <v>487</v>
      </c>
      <c r="B229" s="78" t="s">
        <v>488</v>
      </c>
      <c r="C229" s="78" t="s">
        <v>25</v>
      </c>
      <c r="D229" s="78" t="s">
        <v>40</v>
      </c>
      <c r="E229" s="78" t="s">
        <v>58</v>
      </c>
      <c r="F229" s="78" t="s">
        <v>27</v>
      </c>
      <c r="G229" s="79">
        <v>73.55</v>
      </c>
      <c r="H229" s="80">
        <v>8</v>
      </c>
      <c r="I229" s="81">
        <v>57.8</v>
      </c>
      <c r="J229" s="80">
        <v>290</v>
      </c>
      <c r="K229" s="79">
        <v>21329.5</v>
      </c>
      <c r="L229" s="82">
        <v>46327</v>
      </c>
      <c r="M229" s="80" t="str">
        <f t="shared" si="6"/>
        <v>At Risk</v>
      </c>
      <c r="N229" s="80" t="str">
        <f t="shared" si="7"/>
        <v>Medium</v>
      </c>
    </row>
    <row r="230" spans="1:14" ht="16.5" x14ac:dyDescent="0.2">
      <c r="A230" s="72" t="s">
        <v>489</v>
      </c>
      <c r="B230" s="83" t="s">
        <v>490</v>
      </c>
      <c r="C230" s="83" t="s">
        <v>25</v>
      </c>
      <c r="D230" s="83" t="s">
        <v>17</v>
      </c>
      <c r="E230" s="83" t="s">
        <v>41</v>
      </c>
      <c r="F230" s="83" t="s">
        <v>27</v>
      </c>
      <c r="G230" s="84">
        <v>68.650000000000006</v>
      </c>
      <c r="H230" s="85">
        <v>29</v>
      </c>
      <c r="I230" s="76">
        <v>60.2</v>
      </c>
      <c r="J230" s="85">
        <v>115</v>
      </c>
      <c r="K230" s="84">
        <v>7894.75</v>
      </c>
      <c r="L230" s="86">
        <v>46293</v>
      </c>
      <c r="M230" s="85" t="str">
        <f t="shared" si="6"/>
        <v>At Risk</v>
      </c>
      <c r="N230" s="85" t="str">
        <f t="shared" si="7"/>
        <v>Medium</v>
      </c>
    </row>
    <row r="231" spans="1:14" ht="16.5" x14ac:dyDescent="0.2">
      <c r="A231" s="126" t="s">
        <v>491</v>
      </c>
      <c r="B231" s="78" t="s">
        <v>492</v>
      </c>
      <c r="C231" s="78" t="s">
        <v>39</v>
      </c>
      <c r="D231" s="78" t="s">
        <v>34</v>
      </c>
      <c r="E231" s="78" t="s">
        <v>51</v>
      </c>
      <c r="F231" s="78" t="s">
        <v>42</v>
      </c>
      <c r="G231" s="79">
        <v>920.14</v>
      </c>
      <c r="H231" s="80">
        <v>27</v>
      </c>
      <c r="I231" s="81">
        <v>75.599999999999994</v>
      </c>
      <c r="J231" s="80">
        <v>39</v>
      </c>
      <c r="K231" s="79">
        <v>35885.46</v>
      </c>
      <c r="L231" s="82">
        <v>46238</v>
      </c>
      <c r="M231" s="80" t="str">
        <f t="shared" si="6"/>
        <v>At Risk</v>
      </c>
      <c r="N231" s="80" t="str">
        <f t="shared" si="7"/>
        <v>High</v>
      </c>
    </row>
    <row r="232" spans="1:14" ht="16.5" x14ac:dyDescent="0.2">
      <c r="A232" s="72" t="s">
        <v>493</v>
      </c>
      <c r="B232" s="83" t="s">
        <v>494</v>
      </c>
      <c r="C232" s="83" t="s">
        <v>39</v>
      </c>
      <c r="D232" s="83" t="s">
        <v>17</v>
      </c>
      <c r="E232" s="83" t="s">
        <v>26</v>
      </c>
      <c r="F232" s="83" t="s">
        <v>42</v>
      </c>
      <c r="G232" s="84">
        <v>3805.28</v>
      </c>
      <c r="H232" s="85">
        <v>38</v>
      </c>
      <c r="I232" s="76">
        <v>58.3</v>
      </c>
      <c r="J232" s="85">
        <v>226</v>
      </c>
      <c r="K232" s="84">
        <v>859993.28</v>
      </c>
      <c r="L232" s="86">
        <v>45997</v>
      </c>
      <c r="M232" s="85" t="str">
        <f t="shared" si="6"/>
        <v>At Risk</v>
      </c>
      <c r="N232" s="85" t="str">
        <f t="shared" si="7"/>
        <v>Premium</v>
      </c>
    </row>
    <row r="233" spans="1:14" ht="16.5" x14ac:dyDescent="0.2">
      <c r="A233" s="126" t="s">
        <v>495</v>
      </c>
      <c r="B233" s="78" t="s">
        <v>496</v>
      </c>
      <c r="C233" s="78" t="s">
        <v>16</v>
      </c>
      <c r="D233" s="78" t="s">
        <v>34</v>
      </c>
      <c r="E233" s="78" t="s">
        <v>58</v>
      </c>
      <c r="F233" s="78" t="s">
        <v>19</v>
      </c>
      <c r="G233" s="79">
        <v>789.6</v>
      </c>
      <c r="H233" s="80">
        <v>31</v>
      </c>
      <c r="I233" s="81">
        <v>56.4</v>
      </c>
      <c r="J233" s="80">
        <v>219</v>
      </c>
      <c r="K233" s="79">
        <v>172922.4</v>
      </c>
      <c r="L233" s="82">
        <v>45660</v>
      </c>
      <c r="M233" s="80" t="str">
        <f t="shared" si="6"/>
        <v>At Risk</v>
      </c>
      <c r="N233" s="80" t="str">
        <f t="shared" si="7"/>
        <v>High</v>
      </c>
    </row>
    <row r="234" spans="1:14" ht="16.5" x14ac:dyDescent="0.2">
      <c r="A234" s="72" t="s">
        <v>497</v>
      </c>
      <c r="B234" s="83" t="s">
        <v>498</v>
      </c>
      <c r="C234" s="83" t="s">
        <v>30</v>
      </c>
      <c r="D234" s="83" t="s">
        <v>34</v>
      </c>
      <c r="E234" s="83" t="s">
        <v>31</v>
      </c>
      <c r="F234" s="83" t="s">
        <v>1072</v>
      </c>
      <c r="G234" s="84">
        <v>1007.37</v>
      </c>
      <c r="H234" s="85">
        <v>59</v>
      </c>
      <c r="I234" s="76">
        <v>95.8</v>
      </c>
      <c r="J234" s="85">
        <v>202</v>
      </c>
      <c r="K234" s="84">
        <v>203488.74</v>
      </c>
      <c r="L234" s="86">
        <v>45456</v>
      </c>
      <c r="M234" s="85" t="str">
        <f t="shared" si="6"/>
        <v>OK</v>
      </c>
      <c r="N234" s="85" t="str">
        <f t="shared" si="7"/>
        <v>Premium</v>
      </c>
    </row>
    <row r="235" spans="1:14" ht="16.5" x14ac:dyDescent="0.2">
      <c r="A235" s="126" t="s">
        <v>499</v>
      </c>
      <c r="B235" s="78" t="s">
        <v>500</v>
      </c>
      <c r="C235" s="78" t="s">
        <v>30</v>
      </c>
      <c r="D235" s="78" t="s">
        <v>17</v>
      </c>
      <c r="E235" s="78" t="s">
        <v>31</v>
      </c>
      <c r="F235" s="78" t="s">
        <v>1072</v>
      </c>
      <c r="G235" s="79">
        <v>1151.92</v>
      </c>
      <c r="H235" s="80">
        <v>47</v>
      </c>
      <c r="I235" s="81">
        <v>99</v>
      </c>
      <c r="J235" s="80">
        <v>437</v>
      </c>
      <c r="K235" s="79">
        <v>503389.04</v>
      </c>
      <c r="L235" s="82">
        <v>45299</v>
      </c>
      <c r="M235" s="80" t="str">
        <f t="shared" si="6"/>
        <v>OK</v>
      </c>
      <c r="N235" s="80" t="str">
        <f t="shared" si="7"/>
        <v>Premium</v>
      </c>
    </row>
    <row r="236" spans="1:14" ht="16.5" x14ac:dyDescent="0.2">
      <c r="A236" s="72" t="s">
        <v>501</v>
      </c>
      <c r="B236" s="83" t="s">
        <v>502</v>
      </c>
      <c r="C236" s="83" t="s">
        <v>39</v>
      </c>
      <c r="D236" s="83" t="s">
        <v>40</v>
      </c>
      <c r="E236" s="83" t="s">
        <v>31</v>
      </c>
      <c r="F236" s="83" t="s">
        <v>42</v>
      </c>
      <c r="G236" s="84">
        <v>2800.09</v>
      </c>
      <c r="H236" s="85">
        <v>53</v>
      </c>
      <c r="I236" s="76">
        <v>65.3</v>
      </c>
      <c r="J236" s="85">
        <v>245</v>
      </c>
      <c r="K236" s="84">
        <v>686022.05</v>
      </c>
      <c r="L236" s="86">
        <v>46000</v>
      </c>
      <c r="M236" s="85" t="str">
        <f t="shared" si="6"/>
        <v>At Risk</v>
      </c>
      <c r="N236" s="85" t="str">
        <f t="shared" si="7"/>
        <v>Premium</v>
      </c>
    </row>
    <row r="237" spans="1:14" ht="16.5" x14ac:dyDescent="0.2">
      <c r="A237" s="126" t="s">
        <v>503</v>
      </c>
      <c r="B237" s="78" t="s">
        <v>504</v>
      </c>
      <c r="C237" s="78" t="s">
        <v>48</v>
      </c>
      <c r="D237" s="78" t="s">
        <v>34</v>
      </c>
      <c r="E237" s="78" t="s">
        <v>58</v>
      </c>
      <c r="F237" s="78" t="s">
        <v>1073</v>
      </c>
      <c r="G237" s="79">
        <v>8.6999999999999993</v>
      </c>
      <c r="H237" s="80">
        <v>43</v>
      </c>
      <c r="I237" s="81">
        <v>73.900000000000006</v>
      </c>
      <c r="J237" s="80">
        <v>402</v>
      </c>
      <c r="K237" s="79">
        <v>3497.4</v>
      </c>
      <c r="L237" s="82">
        <v>45324</v>
      </c>
      <c r="M237" s="80" t="str">
        <f t="shared" si="6"/>
        <v>At Risk</v>
      </c>
      <c r="N237" s="80" t="str">
        <f t="shared" si="7"/>
        <v>Low</v>
      </c>
    </row>
    <row r="238" spans="1:14" ht="16.5" x14ac:dyDescent="0.2">
      <c r="A238" s="72" t="s">
        <v>505</v>
      </c>
      <c r="B238" s="83" t="s">
        <v>506</v>
      </c>
      <c r="C238" s="83" t="s">
        <v>16</v>
      </c>
      <c r="D238" s="83" t="s">
        <v>17</v>
      </c>
      <c r="E238" s="83" t="s">
        <v>26</v>
      </c>
      <c r="F238" s="83" t="s">
        <v>19</v>
      </c>
      <c r="G238" s="84">
        <v>384.83</v>
      </c>
      <c r="H238" s="85">
        <v>44</v>
      </c>
      <c r="I238" s="76">
        <v>86.6</v>
      </c>
      <c r="J238" s="85">
        <v>34</v>
      </c>
      <c r="K238" s="84">
        <v>13084.22</v>
      </c>
      <c r="L238" s="86">
        <v>45793</v>
      </c>
      <c r="M238" s="85" t="str">
        <f t="shared" si="6"/>
        <v>Monitor</v>
      </c>
      <c r="N238" s="85" t="str">
        <f t="shared" si="7"/>
        <v>High</v>
      </c>
    </row>
    <row r="239" spans="1:14" ht="16.5" x14ac:dyDescent="0.2">
      <c r="A239" s="126" t="s">
        <v>507</v>
      </c>
      <c r="B239" s="78" t="s">
        <v>508</v>
      </c>
      <c r="C239" s="78" t="s">
        <v>39</v>
      </c>
      <c r="D239" s="78" t="s">
        <v>17</v>
      </c>
      <c r="E239" s="78" t="s">
        <v>22</v>
      </c>
      <c r="F239" s="78" t="s">
        <v>42</v>
      </c>
      <c r="G239" s="79">
        <v>3845.61</v>
      </c>
      <c r="H239" s="80">
        <v>50</v>
      </c>
      <c r="I239" s="81">
        <v>57.5</v>
      </c>
      <c r="J239" s="80">
        <v>267</v>
      </c>
      <c r="K239" s="79">
        <v>1026777.87</v>
      </c>
      <c r="L239" s="82">
        <v>45884</v>
      </c>
      <c r="M239" s="80" t="str">
        <f t="shared" si="6"/>
        <v>At Risk</v>
      </c>
      <c r="N239" s="80" t="str">
        <f t="shared" si="7"/>
        <v>Premium</v>
      </c>
    </row>
    <row r="240" spans="1:14" ht="16.5" x14ac:dyDescent="0.2">
      <c r="A240" s="72" t="s">
        <v>509</v>
      </c>
      <c r="B240" s="83" t="s">
        <v>510</v>
      </c>
      <c r="C240" s="83" t="s">
        <v>30</v>
      </c>
      <c r="D240" s="83" t="s">
        <v>40</v>
      </c>
      <c r="E240" s="83" t="s">
        <v>41</v>
      </c>
      <c r="F240" s="83" t="s">
        <v>1072</v>
      </c>
      <c r="G240" s="84">
        <v>626.42999999999995</v>
      </c>
      <c r="H240" s="85">
        <v>57</v>
      </c>
      <c r="I240" s="76">
        <v>61.4</v>
      </c>
      <c r="J240" s="85">
        <v>348</v>
      </c>
      <c r="K240" s="84">
        <v>217997.64</v>
      </c>
      <c r="L240" s="86">
        <v>46359</v>
      </c>
      <c r="M240" s="85" t="str">
        <f t="shared" si="6"/>
        <v>At Risk</v>
      </c>
      <c r="N240" s="85" t="str">
        <f t="shared" si="7"/>
        <v>High</v>
      </c>
    </row>
    <row r="241" spans="1:14" ht="16.5" x14ac:dyDescent="0.2">
      <c r="A241" s="126" t="s">
        <v>511</v>
      </c>
      <c r="B241" s="78" t="s">
        <v>512</v>
      </c>
      <c r="C241" s="78" t="s">
        <v>30</v>
      </c>
      <c r="D241" s="78" t="s">
        <v>17</v>
      </c>
      <c r="E241" s="78" t="s">
        <v>45</v>
      </c>
      <c r="F241" s="78" t="s">
        <v>1072</v>
      </c>
      <c r="G241" s="79">
        <v>1326.79</v>
      </c>
      <c r="H241" s="80">
        <v>28</v>
      </c>
      <c r="I241" s="81">
        <v>80</v>
      </c>
      <c r="J241" s="80">
        <v>34</v>
      </c>
      <c r="K241" s="79">
        <v>45110.86</v>
      </c>
      <c r="L241" s="82">
        <v>45997</v>
      </c>
      <c r="M241" s="80" t="str">
        <f t="shared" si="6"/>
        <v>At Risk</v>
      </c>
      <c r="N241" s="80" t="str">
        <f t="shared" si="7"/>
        <v>Premium</v>
      </c>
    </row>
    <row r="242" spans="1:14" ht="16.5" x14ac:dyDescent="0.2">
      <c r="A242" s="72" t="s">
        <v>513</v>
      </c>
      <c r="B242" s="83" t="s">
        <v>514</v>
      </c>
      <c r="C242" s="83" t="s">
        <v>30</v>
      </c>
      <c r="D242" s="83" t="s">
        <v>40</v>
      </c>
      <c r="E242" s="83" t="s">
        <v>31</v>
      </c>
      <c r="F242" s="83" t="s">
        <v>1072</v>
      </c>
      <c r="G242" s="84">
        <v>468.59</v>
      </c>
      <c r="H242" s="85">
        <v>25</v>
      </c>
      <c r="I242" s="76">
        <v>63.3</v>
      </c>
      <c r="J242" s="85">
        <v>285</v>
      </c>
      <c r="K242" s="84">
        <v>133548.15</v>
      </c>
      <c r="L242" s="86">
        <v>46261</v>
      </c>
      <c r="M242" s="85" t="str">
        <f t="shared" si="6"/>
        <v>At Risk</v>
      </c>
      <c r="N242" s="85" t="str">
        <f t="shared" si="7"/>
        <v>High</v>
      </c>
    </row>
    <row r="243" spans="1:14" ht="16.5" x14ac:dyDescent="0.2">
      <c r="A243" s="126" t="s">
        <v>515</v>
      </c>
      <c r="B243" s="78" t="s">
        <v>516</v>
      </c>
      <c r="C243" s="78" t="s">
        <v>30</v>
      </c>
      <c r="D243" s="78" t="s">
        <v>34</v>
      </c>
      <c r="E243" s="78" t="s">
        <v>45</v>
      </c>
      <c r="F243" s="78" t="s">
        <v>1072</v>
      </c>
      <c r="G243" s="79">
        <v>1650.4</v>
      </c>
      <c r="H243" s="80">
        <v>59</v>
      </c>
      <c r="I243" s="81">
        <v>57.6</v>
      </c>
      <c r="J243" s="80">
        <v>221</v>
      </c>
      <c r="K243" s="79">
        <v>364738.4</v>
      </c>
      <c r="L243" s="82">
        <v>46145</v>
      </c>
      <c r="M243" s="80" t="str">
        <f t="shared" si="6"/>
        <v>At Risk</v>
      </c>
      <c r="N243" s="80" t="str">
        <f t="shared" si="7"/>
        <v>Premium</v>
      </c>
    </row>
    <row r="244" spans="1:14" ht="16.5" x14ac:dyDescent="0.2">
      <c r="A244" s="72" t="s">
        <v>517</v>
      </c>
      <c r="B244" s="83" t="s">
        <v>518</v>
      </c>
      <c r="C244" s="83" t="s">
        <v>48</v>
      </c>
      <c r="D244" s="83" t="s">
        <v>40</v>
      </c>
      <c r="E244" s="83" t="s">
        <v>18</v>
      </c>
      <c r="F244" s="83" t="s">
        <v>1073</v>
      </c>
      <c r="G244" s="84">
        <v>28.38</v>
      </c>
      <c r="H244" s="85">
        <v>42</v>
      </c>
      <c r="I244" s="76">
        <v>58.6</v>
      </c>
      <c r="J244" s="85">
        <v>240</v>
      </c>
      <c r="K244" s="84">
        <v>6811.2</v>
      </c>
      <c r="L244" s="86">
        <v>46051</v>
      </c>
      <c r="M244" s="85" t="str">
        <f t="shared" si="6"/>
        <v>At Risk</v>
      </c>
      <c r="N244" s="85" t="str">
        <f t="shared" si="7"/>
        <v>Low</v>
      </c>
    </row>
    <row r="245" spans="1:14" ht="16.5" x14ac:dyDescent="0.2">
      <c r="A245" s="126" t="s">
        <v>519</v>
      </c>
      <c r="B245" s="78" t="s">
        <v>520</v>
      </c>
      <c r="C245" s="78" t="s">
        <v>48</v>
      </c>
      <c r="D245" s="78" t="s">
        <v>17</v>
      </c>
      <c r="E245" s="78" t="s">
        <v>31</v>
      </c>
      <c r="F245" s="78" t="s">
        <v>1073</v>
      </c>
      <c r="G245" s="79">
        <v>82.47</v>
      </c>
      <c r="H245" s="80">
        <v>39</v>
      </c>
      <c r="I245" s="81">
        <v>56.8</v>
      </c>
      <c r="J245" s="80">
        <v>47</v>
      </c>
      <c r="K245" s="79">
        <v>3876.09</v>
      </c>
      <c r="L245" s="82">
        <v>45677</v>
      </c>
      <c r="M245" s="80" t="str">
        <f t="shared" si="6"/>
        <v>At Risk</v>
      </c>
      <c r="N245" s="80" t="str">
        <f t="shared" si="7"/>
        <v>Medium</v>
      </c>
    </row>
    <row r="246" spans="1:14" ht="16.5" x14ac:dyDescent="0.2">
      <c r="A246" s="72" t="s">
        <v>521</v>
      </c>
      <c r="B246" s="83" t="s">
        <v>522</v>
      </c>
      <c r="C246" s="83" t="s">
        <v>48</v>
      </c>
      <c r="D246" s="83" t="s">
        <v>40</v>
      </c>
      <c r="E246" s="83" t="s">
        <v>41</v>
      </c>
      <c r="F246" s="83" t="s">
        <v>1073</v>
      </c>
      <c r="G246" s="84">
        <v>39.869999999999997</v>
      </c>
      <c r="H246" s="85">
        <v>59</v>
      </c>
      <c r="I246" s="76">
        <v>55.7</v>
      </c>
      <c r="J246" s="85">
        <v>489</v>
      </c>
      <c r="K246" s="84">
        <v>19496.43</v>
      </c>
      <c r="L246" s="86">
        <v>45681</v>
      </c>
      <c r="M246" s="85" t="str">
        <f t="shared" si="6"/>
        <v>At Risk</v>
      </c>
      <c r="N246" s="85" t="str">
        <f t="shared" si="7"/>
        <v>Low</v>
      </c>
    </row>
    <row r="247" spans="1:14" ht="16.5" x14ac:dyDescent="0.2">
      <c r="A247" s="126" t="s">
        <v>523</v>
      </c>
      <c r="B247" s="78" t="s">
        <v>524</v>
      </c>
      <c r="C247" s="78" t="s">
        <v>48</v>
      </c>
      <c r="D247" s="78" t="s">
        <v>40</v>
      </c>
      <c r="E247" s="78" t="s">
        <v>22</v>
      </c>
      <c r="F247" s="78" t="s">
        <v>1073</v>
      </c>
      <c r="G247" s="79">
        <v>50.61</v>
      </c>
      <c r="H247" s="80">
        <v>16</v>
      </c>
      <c r="I247" s="81">
        <v>79.8</v>
      </c>
      <c r="J247" s="80">
        <v>407</v>
      </c>
      <c r="K247" s="79">
        <v>20598.27</v>
      </c>
      <c r="L247" s="82">
        <v>45871</v>
      </c>
      <c r="M247" s="80" t="str">
        <f t="shared" si="6"/>
        <v>At Risk</v>
      </c>
      <c r="N247" s="80" t="str">
        <f t="shared" si="7"/>
        <v>Medium</v>
      </c>
    </row>
    <row r="248" spans="1:14" ht="16.5" x14ac:dyDescent="0.2">
      <c r="A248" s="72" t="s">
        <v>525</v>
      </c>
      <c r="B248" s="83" t="s">
        <v>526</v>
      </c>
      <c r="C248" s="83" t="s">
        <v>25</v>
      </c>
      <c r="D248" s="83" t="s">
        <v>40</v>
      </c>
      <c r="E248" s="83" t="s">
        <v>18</v>
      </c>
      <c r="F248" s="83" t="s">
        <v>27</v>
      </c>
      <c r="G248" s="84">
        <v>22.4</v>
      </c>
      <c r="H248" s="85">
        <v>33</v>
      </c>
      <c r="I248" s="76">
        <v>94.7</v>
      </c>
      <c r="J248" s="85">
        <v>248</v>
      </c>
      <c r="K248" s="84">
        <v>5555.2</v>
      </c>
      <c r="L248" s="86">
        <v>45493</v>
      </c>
      <c r="M248" s="85" t="str">
        <f t="shared" si="6"/>
        <v>OK</v>
      </c>
      <c r="N248" s="85" t="str">
        <f t="shared" si="7"/>
        <v>Low</v>
      </c>
    </row>
    <row r="249" spans="1:14" ht="16.5" x14ac:dyDescent="0.2">
      <c r="A249" s="126" t="s">
        <v>527</v>
      </c>
      <c r="B249" s="78" t="s">
        <v>528</v>
      </c>
      <c r="C249" s="78" t="s">
        <v>48</v>
      </c>
      <c r="D249" s="78" t="s">
        <v>40</v>
      </c>
      <c r="E249" s="78" t="s">
        <v>31</v>
      </c>
      <c r="F249" s="78" t="s">
        <v>1073</v>
      </c>
      <c r="G249" s="79">
        <v>10.26</v>
      </c>
      <c r="H249" s="80">
        <v>56</v>
      </c>
      <c r="I249" s="81">
        <v>65</v>
      </c>
      <c r="J249" s="80">
        <v>84</v>
      </c>
      <c r="K249" s="79">
        <v>861.84</v>
      </c>
      <c r="L249" s="82">
        <v>45325</v>
      </c>
      <c r="M249" s="80" t="str">
        <f t="shared" si="6"/>
        <v>At Risk</v>
      </c>
      <c r="N249" s="80" t="str">
        <f t="shared" si="7"/>
        <v>Low</v>
      </c>
    </row>
    <row r="250" spans="1:14" ht="16.5" x14ac:dyDescent="0.2">
      <c r="A250" s="72" t="s">
        <v>529</v>
      </c>
      <c r="B250" s="83" t="s">
        <v>530</v>
      </c>
      <c r="C250" s="83" t="s">
        <v>25</v>
      </c>
      <c r="D250" s="83" t="s">
        <v>40</v>
      </c>
      <c r="E250" s="83" t="s">
        <v>31</v>
      </c>
      <c r="F250" s="83" t="s">
        <v>27</v>
      </c>
      <c r="G250" s="84">
        <v>25.02</v>
      </c>
      <c r="H250" s="85">
        <v>13</v>
      </c>
      <c r="I250" s="76">
        <v>69.8</v>
      </c>
      <c r="J250" s="85">
        <v>204</v>
      </c>
      <c r="K250" s="84">
        <v>5104.08</v>
      </c>
      <c r="L250" s="86">
        <v>45795</v>
      </c>
      <c r="M250" s="85" t="str">
        <f t="shared" si="6"/>
        <v>At Risk</v>
      </c>
      <c r="N250" s="85" t="str">
        <f t="shared" si="7"/>
        <v>Low</v>
      </c>
    </row>
    <row r="251" spans="1:14" ht="16.5" x14ac:dyDescent="0.2">
      <c r="A251" s="126" t="s">
        <v>531</v>
      </c>
      <c r="B251" s="78" t="s">
        <v>532</v>
      </c>
      <c r="C251" s="78" t="s">
        <v>30</v>
      </c>
      <c r="D251" s="78" t="s">
        <v>17</v>
      </c>
      <c r="E251" s="78" t="s">
        <v>51</v>
      </c>
      <c r="F251" s="78" t="s">
        <v>1072</v>
      </c>
      <c r="G251" s="79">
        <v>1939.71</v>
      </c>
      <c r="H251" s="80">
        <v>42</v>
      </c>
      <c r="I251" s="81">
        <v>88.3</v>
      </c>
      <c r="J251" s="80">
        <v>245</v>
      </c>
      <c r="K251" s="79">
        <v>475228.95</v>
      </c>
      <c r="L251" s="82">
        <v>45636</v>
      </c>
      <c r="M251" s="80" t="str">
        <f t="shared" si="6"/>
        <v>Monitor</v>
      </c>
      <c r="N251" s="80" t="str">
        <f t="shared" si="7"/>
        <v>Premium</v>
      </c>
    </row>
    <row r="252" spans="1:14" ht="16.5" x14ac:dyDescent="0.2">
      <c r="A252" s="72" t="s">
        <v>533</v>
      </c>
      <c r="B252" s="83" t="s">
        <v>534</v>
      </c>
      <c r="C252" s="83" t="s">
        <v>48</v>
      </c>
      <c r="D252" s="83" t="s">
        <v>40</v>
      </c>
      <c r="E252" s="83" t="s">
        <v>51</v>
      </c>
      <c r="F252" s="83" t="s">
        <v>1073</v>
      </c>
      <c r="G252" s="84">
        <v>26.17</v>
      </c>
      <c r="H252" s="85">
        <v>57</v>
      </c>
      <c r="I252" s="76">
        <v>79.400000000000006</v>
      </c>
      <c r="J252" s="85">
        <v>338</v>
      </c>
      <c r="K252" s="84">
        <v>8845.4599999999991</v>
      </c>
      <c r="L252" s="86">
        <v>45412</v>
      </c>
      <c r="M252" s="85" t="str">
        <f t="shared" si="6"/>
        <v>At Risk</v>
      </c>
      <c r="N252" s="85" t="str">
        <f t="shared" si="7"/>
        <v>Low</v>
      </c>
    </row>
    <row r="253" spans="1:14" ht="16.5" x14ac:dyDescent="0.2">
      <c r="A253" s="126" t="s">
        <v>535</v>
      </c>
      <c r="B253" s="78" t="s">
        <v>536</v>
      </c>
      <c r="C253" s="78" t="s">
        <v>16</v>
      </c>
      <c r="D253" s="78" t="s">
        <v>34</v>
      </c>
      <c r="E253" s="78" t="s">
        <v>26</v>
      </c>
      <c r="F253" s="78" t="s">
        <v>19</v>
      </c>
      <c r="G253" s="79">
        <v>623.25</v>
      </c>
      <c r="H253" s="80">
        <v>27</v>
      </c>
      <c r="I253" s="81">
        <v>61.2</v>
      </c>
      <c r="J253" s="80">
        <v>332</v>
      </c>
      <c r="K253" s="79">
        <v>206919</v>
      </c>
      <c r="L253" s="82">
        <v>45765</v>
      </c>
      <c r="M253" s="80" t="str">
        <f t="shared" si="6"/>
        <v>At Risk</v>
      </c>
      <c r="N253" s="80" t="str">
        <f t="shared" si="7"/>
        <v>High</v>
      </c>
    </row>
    <row r="254" spans="1:14" ht="16.5" x14ac:dyDescent="0.2">
      <c r="A254" s="72" t="s">
        <v>537</v>
      </c>
      <c r="B254" s="83" t="s">
        <v>538</v>
      </c>
      <c r="C254" s="83" t="s">
        <v>16</v>
      </c>
      <c r="D254" s="83" t="s">
        <v>17</v>
      </c>
      <c r="E254" s="83" t="s">
        <v>51</v>
      </c>
      <c r="F254" s="83" t="s">
        <v>19</v>
      </c>
      <c r="G254" s="84">
        <v>329.9</v>
      </c>
      <c r="H254" s="85">
        <v>40</v>
      </c>
      <c r="I254" s="76">
        <v>83.7</v>
      </c>
      <c r="J254" s="85">
        <v>488</v>
      </c>
      <c r="K254" s="84">
        <v>160991.20000000001</v>
      </c>
      <c r="L254" s="86">
        <v>46281</v>
      </c>
      <c r="M254" s="85" t="str">
        <f t="shared" si="6"/>
        <v>At Risk</v>
      </c>
      <c r="N254" s="85" t="str">
        <f t="shared" si="7"/>
        <v>High</v>
      </c>
    </row>
    <row r="255" spans="1:14" ht="16.5" x14ac:dyDescent="0.2">
      <c r="A255" s="126" t="s">
        <v>539</v>
      </c>
      <c r="B255" s="78" t="s">
        <v>540</v>
      </c>
      <c r="C255" s="78" t="s">
        <v>16</v>
      </c>
      <c r="D255" s="78" t="s">
        <v>40</v>
      </c>
      <c r="E255" s="78" t="s">
        <v>31</v>
      </c>
      <c r="F255" s="78" t="s">
        <v>19</v>
      </c>
      <c r="G255" s="79">
        <v>58.89</v>
      </c>
      <c r="H255" s="80">
        <v>34</v>
      </c>
      <c r="I255" s="81">
        <v>87.5</v>
      </c>
      <c r="J255" s="80">
        <v>284</v>
      </c>
      <c r="K255" s="79">
        <v>16724.759999999998</v>
      </c>
      <c r="L255" s="82">
        <v>45879</v>
      </c>
      <c r="M255" s="80" t="str">
        <f t="shared" si="6"/>
        <v>Monitor</v>
      </c>
      <c r="N255" s="80" t="str">
        <f t="shared" si="7"/>
        <v>Medium</v>
      </c>
    </row>
    <row r="256" spans="1:14" ht="16.5" x14ac:dyDescent="0.2">
      <c r="A256" s="72" t="s">
        <v>541</v>
      </c>
      <c r="B256" s="83" t="s">
        <v>542</v>
      </c>
      <c r="C256" s="83" t="s">
        <v>39</v>
      </c>
      <c r="D256" s="83" t="s">
        <v>34</v>
      </c>
      <c r="E256" s="83" t="s">
        <v>45</v>
      </c>
      <c r="F256" s="83" t="s">
        <v>42</v>
      </c>
      <c r="G256" s="84">
        <v>802.98</v>
      </c>
      <c r="H256" s="85">
        <v>7</v>
      </c>
      <c r="I256" s="76">
        <v>78.599999999999994</v>
      </c>
      <c r="J256" s="85">
        <v>133</v>
      </c>
      <c r="K256" s="84">
        <v>106796.34</v>
      </c>
      <c r="L256" s="86">
        <v>45685</v>
      </c>
      <c r="M256" s="85" t="str">
        <f t="shared" si="6"/>
        <v>At Risk</v>
      </c>
      <c r="N256" s="85" t="str">
        <f t="shared" si="7"/>
        <v>High</v>
      </c>
    </row>
    <row r="257" spans="1:14" ht="16.5" x14ac:dyDescent="0.2">
      <c r="A257" s="126" t="s">
        <v>543</v>
      </c>
      <c r="B257" s="78" t="s">
        <v>544</v>
      </c>
      <c r="C257" s="78" t="s">
        <v>30</v>
      </c>
      <c r="D257" s="78" t="s">
        <v>34</v>
      </c>
      <c r="E257" s="78" t="s">
        <v>18</v>
      </c>
      <c r="F257" s="78" t="s">
        <v>1072</v>
      </c>
      <c r="G257" s="79">
        <v>1630.89</v>
      </c>
      <c r="H257" s="80">
        <v>6</v>
      </c>
      <c r="I257" s="81">
        <v>71.8</v>
      </c>
      <c r="J257" s="80">
        <v>217</v>
      </c>
      <c r="K257" s="79">
        <v>353903.13</v>
      </c>
      <c r="L257" s="82">
        <v>46232</v>
      </c>
      <c r="M257" s="80" t="str">
        <f t="shared" si="6"/>
        <v>At Risk</v>
      </c>
      <c r="N257" s="80" t="str">
        <f t="shared" si="7"/>
        <v>Premium</v>
      </c>
    </row>
    <row r="258" spans="1:14" ht="16.5" x14ac:dyDescent="0.2">
      <c r="A258" s="72" t="s">
        <v>545</v>
      </c>
      <c r="B258" s="83" t="s">
        <v>546</v>
      </c>
      <c r="C258" s="83" t="s">
        <v>48</v>
      </c>
      <c r="D258" s="83" t="s">
        <v>17</v>
      </c>
      <c r="E258" s="83" t="s">
        <v>58</v>
      </c>
      <c r="F258" s="83" t="s">
        <v>1073</v>
      </c>
      <c r="G258" s="84">
        <v>80.180000000000007</v>
      </c>
      <c r="H258" s="85">
        <v>55</v>
      </c>
      <c r="I258" s="76">
        <v>84.2</v>
      </c>
      <c r="J258" s="85">
        <v>26</v>
      </c>
      <c r="K258" s="84">
        <v>2084.6799999999998</v>
      </c>
      <c r="L258" s="86">
        <v>45483</v>
      </c>
      <c r="M258" s="85" t="str">
        <f t="shared" ref="M258:M321" si="8">IF(I258&lt;85,"At Risk",IF(I258&lt;92,"Monitor","OK"))</f>
        <v>At Risk</v>
      </c>
      <c r="N258" s="85" t="str">
        <f t="shared" ref="N258:N321" si="9">IF(G258&lt;50,"Low",IF(G258&lt;250,"Medium",IF(G258&lt;1000,"High","Premium")))</f>
        <v>Medium</v>
      </c>
    </row>
    <row r="259" spans="1:14" ht="16.5" x14ac:dyDescent="0.2">
      <c r="A259" s="126" t="s">
        <v>547</v>
      </c>
      <c r="B259" s="78" t="s">
        <v>548</v>
      </c>
      <c r="C259" s="78" t="s">
        <v>39</v>
      </c>
      <c r="D259" s="78" t="s">
        <v>40</v>
      </c>
      <c r="E259" s="78" t="s">
        <v>26</v>
      </c>
      <c r="F259" s="78" t="s">
        <v>42</v>
      </c>
      <c r="G259" s="79">
        <v>3292.72</v>
      </c>
      <c r="H259" s="80">
        <v>45</v>
      </c>
      <c r="I259" s="81">
        <v>62.7</v>
      </c>
      <c r="J259" s="80">
        <v>265</v>
      </c>
      <c r="K259" s="79">
        <v>872570.8</v>
      </c>
      <c r="L259" s="82">
        <v>46180</v>
      </c>
      <c r="M259" s="80" t="str">
        <f t="shared" si="8"/>
        <v>At Risk</v>
      </c>
      <c r="N259" s="80" t="str">
        <f t="shared" si="9"/>
        <v>Premium</v>
      </c>
    </row>
    <row r="260" spans="1:14" ht="16.5" x14ac:dyDescent="0.2">
      <c r="A260" s="72" t="s">
        <v>549</v>
      </c>
      <c r="B260" s="83" t="s">
        <v>550</v>
      </c>
      <c r="C260" s="83" t="s">
        <v>16</v>
      </c>
      <c r="D260" s="83" t="s">
        <v>34</v>
      </c>
      <c r="E260" s="83" t="s">
        <v>26</v>
      </c>
      <c r="F260" s="83" t="s">
        <v>19</v>
      </c>
      <c r="G260" s="84">
        <v>222.32</v>
      </c>
      <c r="H260" s="85">
        <v>58</v>
      </c>
      <c r="I260" s="76">
        <v>94.1</v>
      </c>
      <c r="J260" s="85">
        <v>464</v>
      </c>
      <c r="K260" s="84">
        <v>103156.48</v>
      </c>
      <c r="L260" s="86">
        <v>46265</v>
      </c>
      <c r="M260" s="85" t="str">
        <f t="shared" si="8"/>
        <v>OK</v>
      </c>
      <c r="N260" s="85" t="str">
        <f t="shared" si="9"/>
        <v>Medium</v>
      </c>
    </row>
    <row r="261" spans="1:14" ht="16.5" x14ac:dyDescent="0.2">
      <c r="A261" s="126" t="s">
        <v>551</v>
      </c>
      <c r="B261" s="78" t="s">
        <v>552</v>
      </c>
      <c r="C261" s="78" t="s">
        <v>16</v>
      </c>
      <c r="D261" s="78" t="s">
        <v>40</v>
      </c>
      <c r="E261" s="78" t="s">
        <v>18</v>
      </c>
      <c r="F261" s="78" t="s">
        <v>19</v>
      </c>
      <c r="G261" s="79">
        <v>724.48</v>
      </c>
      <c r="H261" s="80">
        <v>37</v>
      </c>
      <c r="I261" s="81">
        <v>84.6</v>
      </c>
      <c r="J261" s="80">
        <v>101</v>
      </c>
      <c r="K261" s="79">
        <v>73172.479999999996</v>
      </c>
      <c r="L261" s="82">
        <v>45936</v>
      </c>
      <c r="M261" s="80" t="str">
        <f t="shared" si="8"/>
        <v>At Risk</v>
      </c>
      <c r="N261" s="80" t="str">
        <f t="shared" si="9"/>
        <v>High</v>
      </c>
    </row>
    <row r="262" spans="1:14" ht="16.5" x14ac:dyDescent="0.2">
      <c r="A262" s="72" t="s">
        <v>553</v>
      </c>
      <c r="B262" s="83" t="s">
        <v>554</v>
      </c>
      <c r="C262" s="83" t="s">
        <v>25</v>
      </c>
      <c r="D262" s="83" t="s">
        <v>17</v>
      </c>
      <c r="E262" s="83" t="s">
        <v>31</v>
      </c>
      <c r="F262" s="83" t="s">
        <v>27</v>
      </c>
      <c r="G262" s="84">
        <v>74.45</v>
      </c>
      <c r="H262" s="85">
        <v>20</v>
      </c>
      <c r="I262" s="76">
        <v>62.3</v>
      </c>
      <c r="J262" s="85">
        <v>133</v>
      </c>
      <c r="K262" s="84">
        <v>9901.85</v>
      </c>
      <c r="L262" s="86">
        <v>46088</v>
      </c>
      <c r="M262" s="85" t="str">
        <f t="shared" si="8"/>
        <v>At Risk</v>
      </c>
      <c r="N262" s="85" t="str">
        <f t="shared" si="9"/>
        <v>Medium</v>
      </c>
    </row>
    <row r="263" spans="1:14" ht="16.5" x14ac:dyDescent="0.2">
      <c r="A263" s="126" t="s">
        <v>555</v>
      </c>
      <c r="B263" s="78" t="s">
        <v>556</v>
      </c>
      <c r="C263" s="78" t="s">
        <v>39</v>
      </c>
      <c r="D263" s="78" t="s">
        <v>34</v>
      </c>
      <c r="E263" s="78" t="s">
        <v>45</v>
      </c>
      <c r="F263" s="78" t="s">
        <v>42</v>
      </c>
      <c r="G263" s="79">
        <v>4015.34</v>
      </c>
      <c r="H263" s="80">
        <v>45</v>
      </c>
      <c r="I263" s="81">
        <v>87.6</v>
      </c>
      <c r="J263" s="80">
        <v>266</v>
      </c>
      <c r="K263" s="79">
        <v>1068080.44</v>
      </c>
      <c r="L263" s="82">
        <v>46000</v>
      </c>
      <c r="M263" s="80" t="str">
        <f t="shared" si="8"/>
        <v>Monitor</v>
      </c>
      <c r="N263" s="80" t="str">
        <f t="shared" si="9"/>
        <v>Premium</v>
      </c>
    </row>
    <row r="264" spans="1:14" ht="16.5" x14ac:dyDescent="0.2">
      <c r="A264" s="72" t="s">
        <v>557</v>
      </c>
      <c r="B264" s="83" t="s">
        <v>558</v>
      </c>
      <c r="C264" s="83" t="s">
        <v>39</v>
      </c>
      <c r="D264" s="83" t="s">
        <v>17</v>
      </c>
      <c r="E264" s="83" t="s">
        <v>58</v>
      </c>
      <c r="F264" s="83" t="s">
        <v>42</v>
      </c>
      <c r="G264" s="84">
        <v>1900.79</v>
      </c>
      <c r="H264" s="85">
        <v>50</v>
      </c>
      <c r="I264" s="76">
        <v>82.6</v>
      </c>
      <c r="J264" s="85">
        <v>314</v>
      </c>
      <c r="K264" s="84">
        <v>596848.06000000006</v>
      </c>
      <c r="L264" s="86">
        <v>46104</v>
      </c>
      <c r="M264" s="85" t="str">
        <f t="shared" si="8"/>
        <v>At Risk</v>
      </c>
      <c r="N264" s="85" t="str">
        <f t="shared" si="9"/>
        <v>Premium</v>
      </c>
    </row>
    <row r="265" spans="1:14" ht="16.5" x14ac:dyDescent="0.2">
      <c r="A265" s="126" t="s">
        <v>559</v>
      </c>
      <c r="B265" s="78" t="s">
        <v>560</v>
      </c>
      <c r="C265" s="78" t="s">
        <v>30</v>
      </c>
      <c r="D265" s="78" t="s">
        <v>34</v>
      </c>
      <c r="E265" s="78" t="s">
        <v>51</v>
      </c>
      <c r="F265" s="78" t="s">
        <v>1072</v>
      </c>
      <c r="G265" s="79">
        <v>1083.0899999999999</v>
      </c>
      <c r="H265" s="80">
        <v>23</v>
      </c>
      <c r="I265" s="81">
        <v>79.900000000000006</v>
      </c>
      <c r="J265" s="80">
        <v>202</v>
      </c>
      <c r="K265" s="79">
        <v>218784.18</v>
      </c>
      <c r="L265" s="82">
        <v>46176</v>
      </c>
      <c r="M265" s="80" t="str">
        <f t="shared" si="8"/>
        <v>At Risk</v>
      </c>
      <c r="N265" s="80" t="str">
        <f t="shared" si="9"/>
        <v>Premium</v>
      </c>
    </row>
    <row r="266" spans="1:14" ht="16.5" x14ac:dyDescent="0.2">
      <c r="A266" s="72" t="s">
        <v>561</v>
      </c>
      <c r="B266" s="83" t="s">
        <v>562</v>
      </c>
      <c r="C266" s="83" t="s">
        <v>39</v>
      </c>
      <c r="D266" s="83" t="s">
        <v>17</v>
      </c>
      <c r="E266" s="83" t="s">
        <v>18</v>
      </c>
      <c r="F266" s="83" t="s">
        <v>42</v>
      </c>
      <c r="G266" s="84">
        <v>4050.86</v>
      </c>
      <c r="H266" s="85">
        <v>46</v>
      </c>
      <c r="I266" s="76">
        <v>58.3</v>
      </c>
      <c r="J266" s="85">
        <v>147</v>
      </c>
      <c r="K266" s="84">
        <v>595476.42000000004</v>
      </c>
      <c r="L266" s="86">
        <v>45607</v>
      </c>
      <c r="M266" s="85" t="str">
        <f t="shared" si="8"/>
        <v>At Risk</v>
      </c>
      <c r="N266" s="85" t="str">
        <f t="shared" si="9"/>
        <v>Premium</v>
      </c>
    </row>
    <row r="267" spans="1:14" ht="16.5" x14ac:dyDescent="0.2">
      <c r="A267" s="126" t="s">
        <v>563</v>
      </c>
      <c r="B267" s="78" t="s">
        <v>564</v>
      </c>
      <c r="C267" s="78" t="s">
        <v>39</v>
      </c>
      <c r="D267" s="78" t="s">
        <v>40</v>
      </c>
      <c r="E267" s="78" t="s">
        <v>58</v>
      </c>
      <c r="F267" s="78" t="s">
        <v>42</v>
      </c>
      <c r="G267" s="79">
        <v>730.15</v>
      </c>
      <c r="H267" s="80">
        <v>20</v>
      </c>
      <c r="I267" s="81">
        <v>75</v>
      </c>
      <c r="J267" s="80">
        <v>399</v>
      </c>
      <c r="K267" s="79">
        <v>291329.84999999998</v>
      </c>
      <c r="L267" s="82">
        <v>45844</v>
      </c>
      <c r="M267" s="80" t="str">
        <f t="shared" si="8"/>
        <v>At Risk</v>
      </c>
      <c r="N267" s="80" t="str">
        <f t="shared" si="9"/>
        <v>High</v>
      </c>
    </row>
    <row r="268" spans="1:14" ht="16.5" x14ac:dyDescent="0.2">
      <c r="A268" s="72" t="s">
        <v>565</v>
      </c>
      <c r="B268" s="83" t="s">
        <v>566</v>
      </c>
      <c r="C268" s="83" t="s">
        <v>16</v>
      </c>
      <c r="D268" s="83" t="s">
        <v>17</v>
      </c>
      <c r="E268" s="83" t="s">
        <v>51</v>
      </c>
      <c r="F268" s="83" t="s">
        <v>19</v>
      </c>
      <c r="G268" s="84">
        <v>467.74</v>
      </c>
      <c r="H268" s="85">
        <v>33</v>
      </c>
      <c r="I268" s="76">
        <v>73.400000000000006</v>
      </c>
      <c r="J268" s="85">
        <v>23</v>
      </c>
      <c r="K268" s="84">
        <v>10758.02</v>
      </c>
      <c r="L268" s="86">
        <v>45475</v>
      </c>
      <c r="M268" s="85" t="str">
        <f t="shared" si="8"/>
        <v>At Risk</v>
      </c>
      <c r="N268" s="85" t="str">
        <f t="shared" si="9"/>
        <v>High</v>
      </c>
    </row>
    <row r="269" spans="1:14" ht="16.5" x14ac:dyDescent="0.2">
      <c r="A269" s="126" t="s">
        <v>567</v>
      </c>
      <c r="B269" s="78" t="s">
        <v>568</v>
      </c>
      <c r="C269" s="78" t="s">
        <v>16</v>
      </c>
      <c r="D269" s="78" t="s">
        <v>40</v>
      </c>
      <c r="E269" s="78" t="s">
        <v>41</v>
      </c>
      <c r="F269" s="78" t="s">
        <v>19</v>
      </c>
      <c r="G269" s="79">
        <v>697.79</v>
      </c>
      <c r="H269" s="80">
        <v>1</v>
      </c>
      <c r="I269" s="81">
        <v>68.099999999999994</v>
      </c>
      <c r="J269" s="80">
        <v>208</v>
      </c>
      <c r="K269" s="79">
        <v>145140.32</v>
      </c>
      <c r="L269" s="82">
        <v>45465</v>
      </c>
      <c r="M269" s="80" t="str">
        <f t="shared" si="8"/>
        <v>At Risk</v>
      </c>
      <c r="N269" s="80" t="str">
        <f t="shared" si="9"/>
        <v>High</v>
      </c>
    </row>
    <row r="270" spans="1:14" ht="16.5" x14ac:dyDescent="0.2">
      <c r="A270" s="72" t="s">
        <v>569</v>
      </c>
      <c r="B270" s="83" t="s">
        <v>570</v>
      </c>
      <c r="C270" s="83" t="s">
        <v>25</v>
      </c>
      <c r="D270" s="83" t="s">
        <v>40</v>
      </c>
      <c r="E270" s="83" t="s">
        <v>31</v>
      </c>
      <c r="F270" s="83" t="s">
        <v>27</v>
      </c>
      <c r="G270" s="84">
        <v>15.22</v>
      </c>
      <c r="H270" s="85">
        <v>18</v>
      </c>
      <c r="I270" s="76">
        <v>68.599999999999994</v>
      </c>
      <c r="J270" s="85">
        <v>262</v>
      </c>
      <c r="K270" s="84">
        <v>3987.64</v>
      </c>
      <c r="L270" s="86">
        <v>45590</v>
      </c>
      <c r="M270" s="85" t="str">
        <f t="shared" si="8"/>
        <v>At Risk</v>
      </c>
      <c r="N270" s="85" t="str">
        <f t="shared" si="9"/>
        <v>Low</v>
      </c>
    </row>
    <row r="271" spans="1:14" ht="16.5" x14ac:dyDescent="0.2">
      <c r="A271" s="126" t="s">
        <v>571</v>
      </c>
      <c r="B271" s="78" t="s">
        <v>572</v>
      </c>
      <c r="C271" s="78" t="s">
        <v>39</v>
      </c>
      <c r="D271" s="78" t="s">
        <v>17</v>
      </c>
      <c r="E271" s="78" t="s">
        <v>18</v>
      </c>
      <c r="F271" s="78" t="s">
        <v>42</v>
      </c>
      <c r="G271" s="79">
        <v>2575.89</v>
      </c>
      <c r="H271" s="80">
        <v>5</v>
      </c>
      <c r="I271" s="81">
        <v>71.3</v>
      </c>
      <c r="J271" s="80">
        <v>493</v>
      </c>
      <c r="K271" s="79">
        <v>1269913.77</v>
      </c>
      <c r="L271" s="82">
        <v>45797</v>
      </c>
      <c r="M271" s="80" t="str">
        <f t="shared" si="8"/>
        <v>At Risk</v>
      </c>
      <c r="N271" s="80" t="str">
        <f t="shared" si="9"/>
        <v>Premium</v>
      </c>
    </row>
    <row r="272" spans="1:14" ht="16.5" x14ac:dyDescent="0.2">
      <c r="A272" s="72" t="s">
        <v>573</v>
      </c>
      <c r="B272" s="83" t="s">
        <v>574</v>
      </c>
      <c r="C272" s="83" t="s">
        <v>25</v>
      </c>
      <c r="D272" s="83" t="s">
        <v>17</v>
      </c>
      <c r="E272" s="83" t="s">
        <v>58</v>
      </c>
      <c r="F272" s="83" t="s">
        <v>27</v>
      </c>
      <c r="G272" s="84">
        <v>12.57</v>
      </c>
      <c r="H272" s="85">
        <v>1</v>
      </c>
      <c r="I272" s="76">
        <v>97.7</v>
      </c>
      <c r="J272" s="85">
        <v>180</v>
      </c>
      <c r="K272" s="84">
        <v>2262.6</v>
      </c>
      <c r="L272" s="86">
        <v>46070</v>
      </c>
      <c r="M272" s="85" t="str">
        <f t="shared" si="8"/>
        <v>OK</v>
      </c>
      <c r="N272" s="85" t="str">
        <f t="shared" si="9"/>
        <v>Low</v>
      </c>
    </row>
    <row r="273" spans="1:14" ht="16.5" x14ac:dyDescent="0.2">
      <c r="A273" s="126" t="s">
        <v>575</v>
      </c>
      <c r="B273" s="78" t="s">
        <v>576</v>
      </c>
      <c r="C273" s="78" t="s">
        <v>30</v>
      </c>
      <c r="D273" s="78" t="s">
        <v>40</v>
      </c>
      <c r="E273" s="78" t="s">
        <v>45</v>
      </c>
      <c r="F273" s="78" t="s">
        <v>1072</v>
      </c>
      <c r="G273" s="79">
        <v>740.78</v>
      </c>
      <c r="H273" s="80">
        <v>39</v>
      </c>
      <c r="I273" s="81">
        <v>97.6</v>
      </c>
      <c r="J273" s="80">
        <v>112</v>
      </c>
      <c r="K273" s="79">
        <v>82967.360000000001</v>
      </c>
      <c r="L273" s="82">
        <v>46273</v>
      </c>
      <c r="M273" s="80" t="str">
        <f t="shared" si="8"/>
        <v>OK</v>
      </c>
      <c r="N273" s="80" t="str">
        <f t="shared" si="9"/>
        <v>High</v>
      </c>
    </row>
    <row r="274" spans="1:14" ht="16.5" x14ac:dyDescent="0.2">
      <c r="A274" s="72" t="s">
        <v>577</v>
      </c>
      <c r="B274" s="83" t="s">
        <v>578</v>
      </c>
      <c r="C274" s="83" t="s">
        <v>39</v>
      </c>
      <c r="D274" s="83" t="s">
        <v>34</v>
      </c>
      <c r="E274" s="83" t="s">
        <v>18</v>
      </c>
      <c r="F274" s="83" t="s">
        <v>42</v>
      </c>
      <c r="G274" s="84">
        <v>3753.91</v>
      </c>
      <c r="H274" s="85">
        <v>41</v>
      </c>
      <c r="I274" s="76">
        <v>77.099999999999994</v>
      </c>
      <c r="J274" s="85">
        <v>304</v>
      </c>
      <c r="K274" s="84">
        <v>1141188.6399999999</v>
      </c>
      <c r="L274" s="86">
        <v>45788</v>
      </c>
      <c r="M274" s="85" t="str">
        <f t="shared" si="8"/>
        <v>At Risk</v>
      </c>
      <c r="N274" s="85" t="str">
        <f t="shared" si="9"/>
        <v>Premium</v>
      </c>
    </row>
    <row r="275" spans="1:14" ht="16.5" x14ac:dyDescent="0.2">
      <c r="A275" s="126" t="s">
        <v>579</v>
      </c>
      <c r="B275" s="78" t="s">
        <v>580</v>
      </c>
      <c r="C275" s="78" t="s">
        <v>30</v>
      </c>
      <c r="D275" s="78" t="s">
        <v>34</v>
      </c>
      <c r="E275" s="78" t="s">
        <v>31</v>
      </c>
      <c r="F275" s="78" t="s">
        <v>1072</v>
      </c>
      <c r="G275" s="79">
        <v>857.03</v>
      </c>
      <c r="H275" s="80">
        <v>60</v>
      </c>
      <c r="I275" s="81">
        <v>80.400000000000006</v>
      </c>
      <c r="J275" s="80">
        <v>313</v>
      </c>
      <c r="K275" s="79">
        <v>268250.39</v>
      </c>
      <c r="L275" s="82">
        <v>45660</v>
      </c>
      <c r="M275" s="80" t="str">
        <f t="shared" si="8"/>
        <v>At Risk</v>
      </c>
      <c r="N275" s="80" t="str">
        <f t="shared" si="9"/>
        <v>High</v>
      </c>
    </row>
    <row r="276" spans="1:14" ht="16.5" x14ac:dyDescent="0.2">
      <c r="A276" s="72" t="s">
        <v>581</v>
      </c>
      <c r="B276" s="83" t="s">
        <v>582</v>
      </c>
      <c r="C276" s="83" t="s">
        <v>39</v>
      </c>
      <c r="D276" s="83" t="s">
        <v>34</v>
      </c>
      <c r="E276" s="83" t="s">
        <v>22</v>
      </c>
      <c r="F276" s="83" t="s">
        <v>42</v>
      </c>
      <c r="G276" s="84">
        <v>2360.7399999999998</v>
      </c>
      <c r="H276" s="85">
        <v>19</v>
      </c>
      <c r="I276" s="76">
        <v>92.4</v>
      </c>
      <c r="J276" s="85">
        <v>45</v>
      </c>
      <c r="K276" s="84">
        <v>106233.3</v>
      </c>
      <c r="L276" s="86">
        <v>46129</v>
      </c>
      <c r="M276" s="85" t="str">
        <f t="shared" si="8"/>
        <v>OK</v>
      </c>
      <c r="N276" s="85" t="str">
        <f t="shared" si="9"/>
        <v>Premium</v>
      </c>
    </row>
    <row r="277" spans="1:14" ht="16.5" x14ac:dyDescent="0.2">
      <c r="A277" s="126" t="s">
        <v>583</v>
      </c>
      <c r="B277" s="78" t="s">
        <v>584</v>
      </c>
      <c r="C277" s="78" t="s">
        <v>30</v>
      </c>
      <c r="D277" s="78" t="s">
        <v>17</v>
      </c>
      <c r="E277" s="78" t="s">
        <v>45</v>
      </c>
      <c r="F277" s="78" t="s">
        <v>1072</v>
      </c>
      <c r="G277" s="79">
        <v>1487.43</v>
      </c>
      <c r="H277" s="80">
        <v>51</v>
      </c>
      <c r="I277" s="81">
        <v>72</v>
      </c>
      <c r="J277" s="80">
        <v>239</v>
      </c>
      <c r="K277" s="79">
        <v>355495.77</v>
      </c>
      <c r="L277" s="82">
        <v>46273</v>
      </c>
      <c r="M277" s="80" t="str">
        <f t="shared" si="8"/>
        <v>At Risk</v>
      </c>
      <c r="N277" s="80" t="str">
        <f t="shared" si="9"/>
        <v>Premium</v>
      </c>
    </row>
    <row r="278" spans="1:14" ht="16.5" x14ac:dyDescent="0.2">
      <c r="A278" s="72" t="s">
        <v>585</v>
      </c>
      <c r="B278" s="83" t="s">
        <v>586</v>
      </c>
      <c r="C278" s="83" t="s">
        <v>25</v>
      </c>
      <c r="D278" s="83" t="s">
        <v>40</v>
      </c>
      <c r="E278" s="83" t="s">
        <v>31</v>
      </c>
      <c r="F278" s="83" t="s">
        <v>27</v>
      </c>
      <c r="G278" s="84">
        <v>44.4</v>
      </c>
      <c r="H278" s="85">
        <v>51</v>
      </c>
      <c r="I278" s="76">
        <v>98.6</v>
      </c>
      <c r="J278" s="85">
        <v>369</v>
      </c>
      <c r="K278" s="84">
        <v>16383.6</v>
      </c>
      <c r="L278" s="86">
        <v>45466</v>
      </c>
      <c r="M278" s="85" t="str">
        <f t="shared" si="8"/>
        <v>OK</v>
      </c>
      <c r="N278" s="85" t="str">
        <f t="shared" si="9"/>
        <v>Low</v>
      </c>
    </row>
    <row r="279" spans="1:14" ht="16.5" x14ac:dyDescent="0.2">
      <c r="A279" s="126" t="s">
        <v>587</v>
      </c>
      <c r="B279" s="78" t="s">
        <v>588</v>
      </c>
      <c r="C279" s="78" t="s">
        <v>30</v>
      </c>
      <c r="D279" s="78" t="s">
        <v>17</v>
      </c>
      <c r="E279" s="78" t="s">
        <v>26</v>
      </c>
      <c r="F279" s="78" t="s">
        <v>1072</v>
      </c>
      <c r="G279" s="79">
        <v>1213.8</v>
      </c>
      <c r="H279" s="80">
        <v>42</v>
      </c>
      <c r="I279" s="81">
        <v>85.5</v>
      </c>
      <c r="J279" s="80">
        <v>214</v>
      </c>
      <c r="K279" s="79">
        <v>259753.2</v>
      </c>
      <c r="L279" s="82">
        <v>45971</v>
      </c>
      <c r="M279" s="80" t="str">
        <f t="shared" si="8"/>
        <v>Monitor</v>
      </c>
      <c r="N279" s="80" t="str">
        <f t="shared" si="9"/>
        <v>Premium</v>
      </c>
    </row>
    <row r="280" spans="1:14" ht="16.5" x14ac:dyDescent="0.2">
      <c r="A280" s="72" t="s">
        <v>589</v>
      </c>
      <c r="B280" s="83" t="s">
        <v>590</v>
      </c>
      <c r="C280" s="83" t="s">
        <v>16</v>
      </c>
      <c r="D280" s="83" t="s">
        <v>17</v>
      </c>
      <c r="E280" s="83" t="s">
        <v>22</v>
      </c>
      <c r="F280" s="83" t="s">
        <v>19</v>
      </c>
      <c r="G280" s="84">
        <v>433.01</v>
      </c>
      <c r="H280" s="85">
        <v>34</v>
      </c>
      <c r="I280" s="76">
        <v>80.099999999999994</v>
      </c>
      <c r="J280" s="85">
        <v>362</v>
      </c>
      <c r="K280" s="84">
        <v>156749.62</v>
      </c>
      <c r="L280" s="86">
        <v>45744</v>
      </c>
      <c r="M280" s="85" t="str">
        <f t="shared" si="8"/>
        <v>At Risk</v>
      </c>
      <c r="N280" s="85" t="str">
        <f t="shared" si="9"/>
        <v>High</v>
      </c>
    </row>
    <row r="281" spans="1:14" ht="16.5" x14ac:dyDescent="0.2">
      <c r="A281" s="126" t="s">
        <v>591</v>
      </c>
      <c r="B281" s="78" t="s">
        <v>592</v>
      </c>
      <c r="C281" s="78" t="s">
        <v>39</v>
      </c>
      <c r="D281" s="78" t="s">
        <v>40</v>
      </c>
      <c r="E281" s="78" t="s">
        <v>45</v>
      </c>
      <c r="F281" s="78" t="s">
        <v>42</v>
      </c>
      <c r="G281" s="79">
        <v>1921.35</v>
      </c>
      <c r="H281" s="80">
        <v>2</v>
      </c>
      <c r="I281" s="81">
        <v>76.7</v>
      </c>
      <c r="J281" s="80">
        <v>161</v>
      </c>
      <c r="K281" s="79">
        <v>309337.34999999998</v>
      </c>
      <c r="L281" s="82">
        <v>46143</v>
      </c>
      <c r="M281" s="80" t="str">
        <f t="shared" si="8"/>
        <v>At Risk</v>
      </c>
      <c r="N281" s="80" t="str">
        <f t="shared" si="9"/>
        <v>Premium</v>
      </c>
    </row>
    <row r="282" spans="1:14" ht="16.5" x14ac:dyDescent="0.2">
      <c r="A282" s="72" t="s">
        <v>593</v>
      </c>
      <c r="B282" s="83" t="s">
        <v>594</v>
      </c>
      <c r="C282" s="83" t="s">
        <v>48</v>
      </c>
      <c r="D282" s="83" t="s">
        <v>40</v>
      </c>
      <c r="E282" s="83" t="s">
        <v>41</v>
      </c>
      <c r="F282" s="83" t="s">
        <v>1073</v>
      </c>
      <c r="G282" s="84">
        <v>57.36</v>
      </c>
      <c r="H282" s="85">
        <v>14</v>
      </c>
      <c r="I282" s="76">
        <v>78.5</v>
      </c>
      <c r="J282" s="85">
        <v>188</v>
      </c>
      <c r="K282" s="84">
        <v>10783.68</v>
      </c>
      <c r="L282" s="86">
        <v>46267</v>
      </c>
      <c r="M282" s="85" t="str">
        <f t="shared" si="8"/>
        <v>At Risk</v>
      </c>
      <c r="N282" s="85" t="str">
        <f t="shared" si="9"/>
        <v>Medium</v>
      </c>
    </row>
    <row r="283" spans="1:14" ht="16.5" x14ac:dyDescent="0.2">
      <c r="A283" s="126" t="s">
        <v>595</v>
      </c>
      <c r="B283" s="78" t="s">
        <v>596</v>
      </c>
      <c r="C283" s="78" t="s">
        <v>39</v>
      </c>
      <c r="D283" s="78" t="s">
        <v>40</v>
      </c>
      <c r="E283" s="78" t="s">
        <v>18</v>
      </c>
      <c r="F283" s="78" t="s">
        <v>42</v>
      </c>
      <c r="G283" s="79">
        <v>510.01</v>
      </c>
      <c r="H283" s="80">
        <v>46</v>
      </c>
      <c r="I283" s="81">
        <v>60.2</v>
      </c>
      <c r="J283" s="80">
        <v>444</v>
      </c>
      <c r="K283" s="79">
        <v>226444.44</v>
      </c>
      <c r="L283" s="82">
        <v>45994</v>
      </c>
      <c r="M283" s="80" t="str">
        <f t="shared" si="8"/>
        <v>At Risk</v>
      </c>
      <c r="N283" s="80" t="str">
        <f t="shared" si="9"/>
        <v>High</v>
      </c>
    </row>
    <row r="284" spans="1:14" ht="16.5" x14ac:dyDescent="0.2">
      <c r="A284" s="72" t="s">
        <v>597</v>
      </c>
      <c r="B284" s="83" t="s">
        <v>598</v>
      </c>
      <c r="C284" s="83" t="s">
        <v>48</v>
      </c>
      <c r="D284" s="83" t="s">
        <v>40</v>
      </c>
      <c r="E284" s="83" t="s">
        <v>45</v>
      </c>
      <c r="F284" s="83" t="s">
        <v>1073</v>
      </c>
      <c r="G284" s="84">
        <v>43.06</v>
      </c>
      <c r="H284" s="85">
        <v>28</v>
      </c>
      <c r="I284" s="76">
        <v>98.1</v>
      </c>
      <c r="J284" s="85">
        <v>128</v>
      </c>
      <c r="K284" s="84">
        <v>5511.68</v>
      </c>
      <c r="L284" s="86">
        <v>46121</v>
      </c>
      <c r="M284" s="85" t="str">
        <f t="shared" si="8"/>
        <v>OK</v>
      </c>
      <c r="N284" s="85" t="str">
        <f t="shared" si="9"/>
        <v>Low</v>
      </c>
    </row>
    <row r="285" spans="1:14" ht="16.5" x14ac:dyDescent="0.2">
      <c r="A285" s="126" t="s">
        <v>599</v>
      </c>
      <c r="B285" s="78" t="s">
        <v>600</v>
      </c>
      <c r="C285" s="78" t="s">
        <v>39</v>
      </c>
      <c r="D285" s="78" t="s">
        <v>40</v>
      </c>
      <c r="E285" s="78" t="s">
        <v>22</v>
      </c>
      <c r="F285" s="78" t="s">
        <v>42</v>
      </c>
      <c r="G285" s="79">
        <v>2413</v>
      </c>
      <c r="H285" s="80">
        <v>28</v>
      </c>
      <c r="I285" s="81">
        <v>72.5</v>
      </c>
      <c r="J285" s="80">
        <v>370</v>
      </c>
      <c r="K285" s="79">
        <v>892810</v>
      </c>
      <c r="L285" s="82">
        <v>45731</v>
      </c>
      <c r="M285" s="80" t="str">
        <f t="shared" si="8"/>
        <v>At Risk</v>
      </c>
      <c r="N285" s="80" t="str">
        <f t="shared" si="9"/>
        <v>Premium</v>
      </c>
    </row>
    <row r="286" spans="1:14" ht="16.5" x14ac:dyDescent="0.2">
      <c r="A286" s="72" t="s">
        <v>601</v>
      </c>
      <c r="B286" s="83" t="s">
        <v>602</v>
      </c>
      <c r="C286" s="83" t="s">
        <v>16</v>
      </c>
      <c r="D286" s="83" t="s">
        <v>40</v>
      </c>
      <c r="E286" s="83" t="s">
        <v>45</v>
      </c>
      <c r="F286" s="83" t="s">
        <v>19</v>
      </c>
      <c r="G286" s="84">
        <v>324.33999999999997</v>
      </c>
      <c r="H286" s="85">
        <v>13</v>
      </c>
      <c r="I286" s="76">
        <v>75.599999999999994</v>
      </c>
      <c r="J286" s="85">
        <v>144</v>
      </c>
      <c r="K286" s="84">
        <v>46704.959999999999</v>
      </c>
      <c r="L286" s="86">
        <v>46294</v>
      </c>
      <c r="M286" s="85" t="str">
        <f t="shared" si="8"/>
        <v>At Risk</v>
      </c>
      <c r="N286" s="85" t="str">
        <f t="shared" si="9"/>
        <v>High</v>
      </c>
    </row>
    <row r="287" spans="1:14" ht="16.5" x14ac:dyDescent="0.2">
      <c r="A287" s="126" t="s">
        <v>603</v>
      </c>
      <c r="B287" s="78" t="s">
        <v>604</v>
      </c>
      <c r="C287" s="78" t="s">
        <v>25</v>
      </c>
      <c r="D287" s="78" t="s">
        <v>40</v>
      </c>
      <c r="E287" s="78" t="s">
        <v>31</v>
      </c>
      <c r="F287" s="78" t="s">
        <v>27</v>
      </c>
      <c r="G287" s="79">
        <v>47.79</v>
      </c>
      <c r="H287" s="80">
        <v>23</v>
      </c>
      <c r="I287" s="81">
        <v>70.8</v>
      </c>
      <c r="J287" s="80">
        <v>244</v>
      </c>
      <c r="K287" s="79">
        <v>11660.76</v>
      </c>
      <c r="L287" s="82">
        <v>45645</v>
      </c>
      <c r="M287" s="80" t="str">
        <f t="shared" si="8"/>
        <v>At Risk</v>
      </c>
      <c r="N287" s="80" t="str">
        <f t="shared" si="9"/>
        <v>Low</v>
      </c>
    </row>
    <row r="288" spans="1:14" ht="16.5" x14ac:dyDescent="0.2">
      <c r="A288" s="72" t="s">
        <v>605</v>
      </c>
      <c r="B288" s="83" t="s">
        <v>606</v>
      </c>
      <c r="C288" s="83" t="s">
        <v>25</v>
      </c>
      <c r="D288" s="83" t="s">
        <v>17</v>
      </c>
      <c r="E288" s="83" t="s">
        <v>45</v>
      </c>
      <c r="F288" s="83" t="s">
        <v>27</v>
      </c>
      <c r="G288" s="84">
        <v>26.43</v>
      </c>
      <c r="H288" s="85">
        <v>16</v>
      </c>
      <c r="I288" s="76">
        <v>68.7</v>
      </c>
      <c r="J288" s="85">
        <v>103</v>
      </c>
      <c r="K288" s="84">
        <v>2722.29</v>
      </c>
      <c r="L288" s="86">
        <v>46056</v>
      </c>
      <c r="M288" s="85" t="str">
        <f t="shared" si="8"/>
        <v>At Risk</v>
      </c>
      <c r="N288" s="85" t="str">
        <f t="shared" si="9"/>
        <v>Low</v>
      </c>
    </row>
    <row r="289" spans="1:14" ht="16.5" x14ac:dyDescent="0.2">
      <c r="A289" s="126" t="s">
        <v>607</v>
      </c>
      <c r="B289" s="78" t="s">
        <v>608</v>
      </c>
      <c r="C289" s="78" t="s">
        <v>39</v>
      </c>
      <c r="D289" s="78" t="s">
        <v>40</v>
      </c>
      <c r="E289" s="78" t="s">
        <v>45</v>
      </c>
      <c r="F289" s="78" t="s">
        <v>42</v>
      </c>
      <c r="G289" s="79">
        <v>3001.59</v>
      </c>
      <c r="H289" s="80">
        <v>28</v>
      </c>
      <c r="I289" s="81">
        <v>63.4</v>
      </c>
      <c r="J289" s="80">
        <v>335</v>
      </c>
      <c r="K289" s="79">
        <v>1005532.65</v>
      </c>
      <c r="L289" s="82">
        <v>45646</v>
      </c>
      <c r="M289" s="80" t="str">
        <f t="shared" si="8"/>
        <v>At Risk</v>
      </c>
      <c r="N289" s="80" t="str">
        <f t="shared" si="9"/>
        <v>Premium</v>
      </c>
    </row>
    <row r="290" spans="1:14" ht="16.5" x14ac:dyDescent="0.2">
      <c r="A290" s="72" t="s">
        <v>609</v>
      </c>
      <c r="B290" s="83" t="s">
        <v>610</v>
      </c>
      <c r="C290" s="83" t="s">
        <v>39</v>
      </c>
      <c r="D290" s="83" t="s">
        <v>17</v>
      </c>
      <c r="E290" s="83" t="s">
        <v>45</v>
      </c>
      <c r="F290" s="83" t="s">
        <v>42</v>
      </c>
      <c r="G290" s="84">
        <v>1778.53</v>
      </c>
      <c r="H290" s="85">
        <v>29</v>
      </c>
      <c r="I290" s="76">
        <v>82.9</v>
      </c>
      <c r="J290" s="85">
        <v>453</v>
      </c>
      <c r="K290" s="84">
        <v>805674.09</v>
      </c>
      <c r="L290" s="86">
        <v>46027</v>
      </c>
      <c r="M290" s="85" t="str">
        <f t="shared" si="8"/>
        <v>At Risk</v>
      </c>
      <c r="N290" s="85" t="str">
        <f t="shared" si="9"/>
        <v>Premium</v>
      </c>
    </row>
    <row r="291" spans="1:14" ht="16.5" x14ac:dyDescent="0.2">
      <c r="A291" s="126" t="s">
        <v>611</v>
      </c>
      <c r="B291" s="78" t="s">
        <v>612</v>
      </c>
      <c r="C291" s="78" t="s">
        <v>48</v>
      </c>
      <c r="D291" s="78" t="s">
        <v>17</v>
      </c>
      <c r="E291" s="78" t="s">
        <v>31</v>
      </c>
      <c r="F291" s="78" t="s">
        <v>1073</v>
      </c>
      <c r="G291" s="79">
        <v>115.84</v>
      </c>
      <c r="H291" s="80">
        <v>33</v>
      </c>
      <c r="I291" s="81">
        <v>84.4</v>
      </c>
      <c r="J291" s="80">
        <v>219</v>
      </c>
      <c r="K291" s="79">
        <v>25368.959999999999</v>
      </c>
      <c r="L291" s="82">
        <v>46299</v>
      </c>
      <c r="M291" s="80" t="str">
        <f t="shared" si="8"/>
        <v>At Risk</v>
      </c>
      <c r="N291" s="80" t="str">
        <f t="shared" si="9"/>
        <v>Medium</v>
      </c>
    </row>
    <row r="292" spans="1:14" ht="16.5" x14ac:dyDescent="0.2">
      <c r="A292" s="72" t="s">
        <v>613</v>
      </c>
      <c r="B292" s="83" t="s">
        <v>614</v>
      </c>
      <c r="C292" s="83" t="s">
        <v>39</v>
      </c>
      <c r="D292" s="83" t="s">
        <v>17</v>
      </c>
      <c r="E292" s="83" t="s">
        <v>26</v>
      </c>
      <c r="F292" s="83" t="s">
        <v>42</v>
      </c>
      <c r="G292" s="84">
        <v>4040.64</v>
      </c>
      <c r="H292" s="85">
        <v>15</v>
      </c>
      <c r="I292" s="76">
        <v>68.099999999999994</v>
      </c>
      <c r="J292" s="85">
        <v>150</v>
      </c>
      <c r="K292" s="84">
        <v>606096</v>
      </c>
      <c r="L292" s="86">
        <v>45752</v>
      </c>
      <c r="M292" s="85" t="str">
        <f t="shared" si="8"/>
        <v>At Risk</v>
      </c>
      <c r="N292" s="85" t="str">
        <f t="shared" si="9"/>
        <v>Premium</v>
      </c>
    </row>
    <row r="293" spans="1:14" ht="16.5" x14ac:dyDescent="0.2">
      <c r="A293" s="126" t="s">
        <v>615</v>
      </c>
      <c r="B293" s="78" t="s">
        <v>616</v>
      </c>
      <c r="C293" s="78" t="s">
        <v>48</v>
      </c>
      <c r="D293" s="78" t="s">
        <v>34</v>
      </c>
      <c r="E293" s="78" t="s">
        <v>51</v>
      </c>
      <c r="F293" s="78" t="s">
        <v>1073</v>
      </c>
      <c r="G293" s="79">
        <v>68.22</v>
      </c>
      <c r="H293" s="80">
        <v>8</v>
      </c>
      <c r="I293" s="81">
        <v>80.8</v>
      </c>
      <c r="J293" s="80">
        <v>147</v>
      </c>
      <c r="K293" s="79">
        <v>10028.34</v>
      </c>
      <c r="L293" s="82">
        <v>46043</v>
      </c>
      <c r="M293" s="80" t="str">
        <f t="shared" si="8"/>
        <v>At Risk</v>
      </c>
      <c r="N293" s="80" t="str">
        <f t="shared" si="9"/>
        <v>Medium</v>
      </c>
    </row>
    <row r="294" spans="1:14" ht="16.5" x14ac:dyDescent="0.2">
      <c r="A294" s="72" t="s">
        <v>617</v>
      </c>
      <c r="B294" s="83" t="s">
        <v>618</v>
      </c>
      <c r="C294" s="83" t="s">
        <v>39</v>
      </c>
      <c r="D294" s="83" t="s">
        <v>40</v>
      </c>
      <c r="E294" s="83" t="s">
        <v>31</v>
      </c>
      <c r="F294" s="83" t="s">
        <v>42</v>
      </c>
      <c r="G294" s="84">
        <v>781.36</v>
      </c>
      <c r="H294" s="85">
        <v>54</v>
      </c>
      <c r="I294" s="76">
        <v>84.4</v>
      </c>
      <c r="J294" s="85">
        <v>136</v>
      </c>
      <c r="K294" s="84">
        <v>106264.96000000001</v>
      </c>
      <c r="L294" s="86">
        <v>45901</v>
      </c>
      <c r="M294" s="85" t="str">
        <f t="shared" si="8"/>
        <v>At Risk</v>
      </c>
      <c r="N294" s="85" t="str">
        <f t="shared" si="9"/>
        <v>High</v>
      </c>
    </row>
    <row r="295" spans="1:14" ht="16.5" x14ac:dyDescent="0.2">
      <c r="A295" s="126" t="s">
        <v>619</v>
      </c>
      <c r="B295" s="78" t="s">
        <v>620</v>
      </c>
      <c r="C295" s="78" t="s">
        <v>30</v>
      </c>
      <c r="D295" s="78" t="s">
        <v>40</v>
      </c>
      <c r="E295" s="78" t="s">
        <v>58</v>
      </c>
      <c r="F295" s="78" t="s">
        <v>1072</v>
      </c>
      <c r="G295" s="79">
        <v>990.33</v>
      </c>
      <c r="H295" s="80">
        <v>8</v>
      </c>
      <c r="I295" s="81">
        <v>89.9</v>
      </c>
      <c r="J295" s="80">
        <v>131</v>
      </c>
      <c r="K295" s="79">
        <v>129733.23</v>
      </c>
      <c r="L295" s="82">
        <v>45721</v>
      </c>
      <c r="M295" s="80" t="str">
        <f t="shared" si="8"/>
        <v>Monitor</v>
      </c>
      <c r="N295" s="80" t="str">
        <f t="shared" si="9"/>
        <v>High</v>
      </c>
    </row>
    <row r="296" spans="1:14" ht="16.5" x14ac:dyDescent="0.2">
      <c r="A296" s="72" t="s">
        <v>621</v>
      </c>
      <c r="B296" s="83" t="s">
        <v>622</v>
      </c>
      <c r="C296" s="83" t="s">
        <v>25</v>
      </c>
      <c r="D296" s="83" t="s">
        <v>40</v>
      </c>
      <c r="E296" s="83" t="s">
        <v>45</v>
      </c>
      <c r="F296" s="83" t="s">
        <v>27</v>
      </c>
      <c r="G296" s="84">
        <v>50.06</v>
      </c>
      <c r="H296" s="85">
        <v>51</v>
      </c>
      <c r="I296" s="76">
        <v>64.3</v>
      </c>
      <c r="J296" s="85">
        <v>115</v>
      </c>
      <c r="K296" s="84">
        <v>5756.9</v>
      </c>
      <c r="L296" s="86">
        <v>45413</v>
      </c>
      <c r="M296" s="85" t="str">
        <f t="shared" si="8"/>
        <v>At Risk</v>
      </c>
      <c r="N296" s="85" t="str">
        <f t="shared" si="9"/>
        <v>Medium</v>
      </c>
    </row>
    <row r="297" spans="1:14" ht="16.5" x14ac:dyDescent="0.2">
      <c r="A297" s="126" t="s">
        <v>623</v>
      </c>
      <c r="B297" s="78" t="s">
        <v>624</v>
      </c>
      <c r="C297" s="78" t="s">
        <v>25</v>
      </c>
      <c r="D297" s="78" t="s">
        <v>17</v>
      </c>
      <c r="E297" s="78" t="s">
        <v>45</v>
      </c>
      <c r="F297" s="78" t="s">
        <v>27</v>
      </c>
      <c r="G297" s="79">
        <v>27.24</v>
      </c>
      <c r="H297" s="80">
        <v>46</v>
      </c>
      <c r="I297" s="81">
        <v>68.2</v>
      </c>
      <c r="J297" s="80">
        <v>303</v>
      </c>
      <c r="K297" s="79">
        <v>8253.7199999999993</v>
      </c>
      <c r="L297" s="82">
        <v>45839</v>
      </c>
      <c r="M297" s="80" t="str">
        <f t="shared" si="8"/>
        <v>At Risk</v>
      </c>
      <c r="N297" s="80" t="str">
        <f t="shared" si="9"/>
        <v>Low</v>
      </c>
    </row>
    <row r="298" spans="1:14" ht="16.5" x14ac:dyDescent="0.2">
      <c r="A298" s="72" t="s">
        <v>625</v>
      </c>
      <c r="B298" s="83" t="s">
        <v>626</v>
      </c>
      <c r="C298" s="83" t="s">
        <v>48</v>
      </c>
      <c r="D298" s="83" t="s">
        <v>34</v>
      </c>
      <c r="E298" s="83" t="s">
        <v>31</v>
      </c>
      <c r="F298" s="83" t="s">
        <v>1073</v>
      </c>
      <c r="G298" s="84">
        <v>110.66</v>
      </c>
      <c r="H298" s="85">
        <v>18</v>
      </c>
      <c r="I298" s="76">
        <v>94</v>
      </c>
      <c r="J298" s="85">
        <v>74</v>
      </c>
      <c r="K298" s="84">
        <v>8188.84</v>
      </c>
      <c r="L298" s="86">
        <v>45563</v>
      </c>
      <c r="M298" s="85" t="str">
        <f t="shared" si="8"/>
        <v>OK</v>
      </c>
      <c r="N298" s="85" t="str">
        <f t="shared" si="9"/>
        <v>Medium</v>
      </c>
    </row>
    <row r="299" spans="1:14" ht="16.5" x14ac:dyDescent="0.2">
      <c r="A299" s="126" t="s">
        <v>627</v>
      </c>
      <c r="B299" s="78" t="s">
        <v>628</v>
      </c>
      <c r="C299" s="78" t="s">
        <v>30</v>
      </c>
      <c r="D299" s="78" t="s">
        <v>34</v>
      </c>
      <c r="E299" s="78" t="s">
        <v>31</v>
      </c>
      <c r="F299" s="78" t="s">
        <v>1072</v>
      </c>
      <c r="G299" s="79">
        <v>1081.03</v>
      </c>
      <c r="H299" s="80">
        <v>37</v>
      </c>
      <c r="I299" s="81">
        <v>83.5</v>
      </c>
      <c r="J299" s="80">
        <v>331</v>
      </c>
      <c r="K299" s="79">
        <v>357820.93</v>
      </c>
      <c r="L299" s="82">
        <v>46140</v>
      </c>
      <c r="M299" s="80" t="str">
        <f t="shared" si="8"/>
        <v>At Risk</v>
      </c>
      <c r="N299" s="80" t="str">
        <f t="shared" si="9"/>
        <v>Premium</v>
      </c>
    </row>
    <row r="300" spans="1:14" ht="16.5" x14ac:dyDescent="0.2">
      <c r="A300" s="72" t="s">
        <v>629</v>
      </c>
      <c r="B300" s="83" t="s">
        <v>630</v>
      </c>
      <c r="C300" s="83" t="s">
        <v>16</v>
      </c>
      <c r="D300" s="83" t="s">
        <v>40</v>
      </c>
      <c r="E300" s="83" t="s">
        <v>58</v>
      </c>
      <c r="F300" s="83" t="s">
        <v>19</v>
      </c>
      <c r="G300" s="84">
        <v>352.14</v>
      </c>
      <c r="H300" s="85">
        <v>48</v>
      </c>
      <c r="I300" s="76">
        <v>67.5</v>
      </c>
      <c r="J300" s="85">
        <v>489</v>
      </c>
      <c r="K300" s="84">
        <v>172196.46</v>
      </c>
      <c r="L300" s="86">
        <v>46047</v>
      </c>
      <c r="M300" s="85" t="str">
        <f t="shared" si="8"/>
        <v>At Risk</v>
      </c>
      <c r="N300" s="85" t="str">
        <f t="shared" si="9"/>
        <v>High</v>
      </c>
    </row>
    <row r="301" spans="1:14" ht="16.5" x14ac:dyDescent="0.2">
      <c r="A301" s="126" t="s">
        <v>631</v>
      </c>
      <c r="B301" s="78" t="s">
        <v>632</v>
      </c>
      <c r="C301" s="78" t="s">
        <v>30</v>
      </c>
      <c r="D301" s="78" t="s">
        <v>40</v>
      </c>
      <c r="E301" s="78" t="s">
        <v>58</v>
      </c>
      <c r="F301" s="78" t="s">
        <v>1072</v>
      </c>
      <c r="G301" s="79">
        <v>1515.68</v>
      </c>
      <c r="H301" s="80">
        <v>30</v>
      </c>
      <c r="I301" s="81">
        <v>83.6</v>
      </c>
      <c r="J301" s="80">
        <v>367</v>
      </c>
      <c r="K301" s="79">
        <v>556254.56000000006</v>
      </c>
      <c r="L301" s="82">
        <v>46025</v>
      </c>
      <c r="M301" s="80" t="str">
        <f t="shared" si="8"/>
        <v>At Risk</v>
      </c>
      <c r="N301" s="80" t="str">
        <f t="shared" si="9"/>
        <v>Premium</v>
      </c>
    </row>
    <row r="302" spans="1:14" ht="16.5" x14ac:dyDescent="0.2">
      <c r="A302" s="72" t="s">
        <v>633</v>
      </c>
      <c r="B302" s="83" t="s">
        <v>634</v>
      </c>
      <c r="C302" s="83" t="s">
        <v>39</v>
      </c>
      <c r="D302" s="83" t="s">
        <v>17</v>
      </c>
      <c r="E302" s="83" t="s">
        <v>31</v>
      </c>
      <c r="F302" s="83" t="s">
        <v>42</v>
      </c>
      <c r="G302" s="84">
        <v>4176.78</v>
      </c>
      <c r="H302" s="85">
        <v>32</v>
      </c>
      <c r="I302" s="76">
        <v>67.099999999999994</v>
      </c>
      <c r="J302" s="85">
        <v>434</v>
      </c>
      <c r="K302" s="84">
        <v>1812722.52</v>
      </c>
      <c r="L302" s="86">
        <v>45872</v>
      </c>
      <c r="M302" s="85" t="str">
        <f t="shared" si="8"/>
        <v>At Risk</v>
      </c>
      <c r="N302" s="85" t="str">
        <f t="shared" si="9"/>
        <v>Premium</v>
      </c>
    </row>
    <row r="303" spans="1:14" ht="16.5" x14ac:dyDescent="0.2">
      <c r="A303" s="126" t="s">
        <v>635</v>
      </c>
      <c r="B303" s="78" t="s">
        <v>636</v>
      </c>
      <c r="C303" s="78" t="s">
        <v>25</v>
      </c>
      <c r="D303" s="78" t="s">
        <v>17</v>
      </c>
      <c r="E303" s="78" t="s">
        <v>51</v>
      </c>
      <c r="F303" s="78" t="s">
        <v>27</v>
      </c>
      <c r="G303" s="79">
        <v>63.49</v>
      </c>
      <c r="H303" s="80">
        <v>58</v>
      </c>
      <c r="I303" s="81">
        <v>85.7</v>
      </c>
      <c r="J303" s="80">
        <v>34</v>
      </c>
      <c r="K303" s="79">
        <v>2158.66</v>
      </c>
      <c r="L303" s="82">
        <v>45386</v>
      </c>
      <c r="M303" s="80" t="str">
        <f t="shared" si="8"/>
        <v>Monitor</v>
      </c>
      <c r="N303" s="80" t="str">
        <f t="shared" si="9"/>
        <v>Medium</v>
      </c>
    </row>
    <row r="304" spans="1:14" ht="16.5" x14ac:dyDescent="0.2">
      <c r="A304" s="72" t="s">
        <v>637</v>
      </c>
      <c r="B304" s="83" t="s">
        <v>638</v>
      </c>
      <c r="C304" s="83" t="s">
        <v>16</v>
      </c>
      <c r="D304" s="83" t="s">
        <v>17</v>
      </c>
      <c r="E304" s="83" t="s">
        <v>45</v>
      </c>
      <c r="F304" s="83" t="s">
        <v>19</v>
      </c>
      <c r="G304" s="84">
        <v>380.96</v>
      </c>
      <c r="H304" s="85">
        <v>1</v>
      </c>
      <c r="I304" s="76">
        <v>99.6</v>
      </c>
      <c r="J304" s="85">
        <v>229</v>
      </c>
      <c r="K304" s="84">
        <v>87239.84</v>
      </c>
      <c r="L304" s="86">
        <v>45706</v>
      </c>
      <c r="M304" s="85" t="str">
        <f t="shared" si="8"/>
        <v>OK</v>
      </c>
      <c r="N304" s="85" t="str">
        <f t="shared" si="9"/>
        <v>High</v>
      </c>
    </row>
    <row r="305" spans="1:14" ht="16.5" x14ac:dyDescent="0.2">
      <c r="A305" s="126" t="s">
        <v>639</v>
      </c>
      <c r="B305" s="78" t="s">
        <v>640</v>
      </c>
      <c r="C305" s="78" t="s">
        <v>48</v>
      </c>
      <c r="D305" s="78" t="s">
        <v>34</v>
      </c>
      <c r="E305" s="78" t="s">
        <v>18</v>
      </c>
      <c r="F305" s="78" t="s">
        <v>1073</v>
      </c>
      <c r="G305" s="79">
        <v>15.73</v>
      </c>
      <c r="H305" s="80">
        <v>24</v>
      </c>
      <c r="I305" s="81">
        <v>66.3</v>
      </c>
      <c r="J305" s="80">
        <v>200</v>
      </c>
      <c r="K305" s="79">
        <v>3146</v>
      </c>
      <c r="L305" s="82">
        <v>45630</v>
      </c>
      <c r="M305" s="80" t="str">
        <f t="shared" si="8"/>
        <v>At Risk</v>
      </c>
      <c r="N305" s="80" t="str">
        <f t="shared" si="9"/>
        <v>Low</v>
      </c>
    </row>
    <row r="306" spans="1:14" ht="16.5" x14ac:dyDescent="0.2">
      <c r="A306" s="72" t="s">
        <v>641</v>
      </c>
      <c r="B306" s="83" t="s">
        <v>642</v>
      </c>
      <c r="C306" s="83" t="s">
        <v>30</v>
      </c>
      <c r="D306" s="83" t="s">
        <v>40</v>
      </c>
      <c r="E306" s="83" t="s">
        <v>22</v>
      </c>
      <c r="F306" s="83" t="s">
        <v>1072</v>
      </c>
      <c r="G306" s="84">
        <v>972.62</v>
      </c>
      <c r="H306" s="85">
        <v>6</v>
      </c>
      <c r="I306" s="76">
        <v>86.7</v>
      </c>
      <c r="J306" s="85">
        <v>10</v>
      </c>
      <c r="K306" s="84">
        <v>9726.2000000000007</v>
      </c>
      <c r="L306" s="86">
        <v>45729</v>
      </c>
      <c r="M306" s="85" t="str">
        <f t="shared" si="8"/>
        <v>Monitor</v>
      </c>
      <c r="N306" s="85" t="str">
        <f t="shared" si="9"/>
        <v>High</v>
      </c>
    </row>
    <row r="307" spans="1:14" ht="16.5" x14ac:dyDescent="0.2">
      <c r="A307" s="126" t="s">
        <v>643</v>
      </c>
      <c r="B307" s="78" t="s">
        <v>644</v>
      </c>
      <c r="C307" s="78" t="s">
        <v>48</v>
      </c>
      <c r="D307" s="78" t="s">
        <v>40</v>
      </c>
      <c r="E307" s="78" t="s">
        <v>51</v>
      </c>
      <c r="F307" s="78" t="s">
        <v>1073</v>
      </c>
      <c r="G307" s="79">
        <v>6.07</v>
      </c>
      <c r="H307" s="80">
        <v>45</v>
      </c>
      <c r="I307" s="81">
        <v>70.5</v>
      </c>
      <c r="J307" s="80">
        <v>71</v>
      </c>
      <c r="K307" s="79">
        <v>430.97</v>
      </c>
      <c r="L307" s="82">
        <v>46156</v>
      </c>
      <c r="M307" s="80" t="str">
        <f t="shared" si="8"/>
        <v>At Risk</v>
      </c>
      <c r="N307" s="80" t="str">
        <f t="shared" si="9"/>
        <v>Low</v>
      </c>
    </row>
    <row r="308" spans="1:14" ht="16.5" x14ac:dyDescent="0.2">
      <c r="A308" s="72" t="s">
        <v>645</v>
      </c>
      <c r="B308" s="83" t="s">
        <v>646</v>
      </c>
      <c r="C308" s="83" t="s">
        <v>16</v>
      </c>
      <c r="D308" s="83" t="s">
        <v>17</v>
      </c>
      <c r="E308" s="83" t="s">
        <v>58</v>
      </c>
      <c r="F308" s="83" t="s">
        <v>19</v>
      </c>
      <c r="G308" s="84">
        <v>598.07000000000005</v>
      </c>
      <c r="H308" s="85">
        <v>7</v>
      </c>
      <c r="I308" s="76">
        <v>59.6</v>
      </c>
      <c r="J308" s="85">
        <v>198</v>
      </c>
      <c r="K308" s="84">
        <v>118417.86</v>
      </c>
      <c r="L308" s="86">
        <v>45904</v>
      </c>
      <c r="M308" s="85" t="str">
        <f t="shared" si="8"/>
        <v>At Risk</v>
      </c>
      <c r="N308" s="85" t="str">
        <f t="shared" si="9"/>
        <v>High</v>
      </c>
    </row>
    <row r="309" spans="1:14" ht="16.5" x14ac:dyDescent="0.2">
      <c r="A309" s="126" t="s">
        <v>647</v>
      </c>
      <c r="B309" s="78" t="s">
        <v>648</v>
      </c>
      <c r="C309" s="78" t="s">
        <v>48</v>
      </c>
      <c r="D309" s="78" t="s">
        <v>40</v>
      </c>
      <c r="E309" s="78" t="s">
        <v>45</v>
      </c>
      <c r="F309" s="78" t="s">
        <v>1073</v>
      </c>
      <c r="G309" s="79">
        <v>12.87</v>
      </c>
      <c r="H309" s="80">
        <v>37</v>
      </c>
      <c r="I309" s="81">
        <v>55.4</v>
      </c>
      <c r="J309" s="80">
        <v>342</v>
      </c>
      <c r="K309" s="79">
        <v>4401.54</v>
      </c>
      <c r="L309" s="82">
        <v>45628</v>
      </c>
      <c r="M309" s="80" t="str">
        <f t="shared" si="8"/>
        <v>At Risk</v>
      </c>
      <c r="N309" s="80" t="str">
        <f t="shared" si="9"/>
        <v>Low</v>
      </c>
    </row>
    <row r="310" spans="1:14" ht="16.5" x14ac:dyDescent="0.2">
      <c r="A310" s="72" t="s">
        <v>649</v>
      </c>
      <c r="B310" s="83" t="s">
        <v>650</v>
      </c>
      <c r="C310" s="83" t="s">
        <v>48</v>
      </c>
      <c r="D310" s="83" t="s">
        <v>40</v>
      </c>
      <c r="E310" s="83" t="s">
        <v>45</v>
      </c>
      <c r="F310" s="83" t="s">
        <v>1073</v>
      </c>
      <c r="G310" s="84">
        <v>110.79</v>
      </c>
      <c r="H310" s="85">
        <v>40</v>
      </c>
      <c r="I310" s="76">
        <v>85.9</v>
      </c>
      <c r="J310" s="85">
        <v>450</v>
      </c>
      <c r="K310" s="84">
        <v>49855.5</v>
      </c>
      <c r="L310" s="86">
        <v>45736</v>
      </c>
      <c r="M310" s="85" t="str">
        <f t="shared" si="8"/>
        <v>Monitor</v>
      </c>
      <c r="N310" s="85" t="str">
        <f t="shared" si="9"/>
        <v>Medium</v>
      </c>
    </row>
    <row r="311" spans="1:14" ht="16.5" x14ac:dyDescent="0.2">
      <c r="A311" s="126" t="s">
        <v>651</v>
      </c>
      <c r="B311" s="78" t="s">
        <v>652</v>
      </c>
      <c r="C311" s="78" t="s">
        <v>48</v>
      </c>
      <c r="D311" s="78" t="s">
        <v>34</v>
      </c>
      <c r="E311" s="78" t="s">
        <v>31</v>
      </c>
      <c r="F311" s="78" t="s">
        <v>1073</v>
      </c>
      <c r="G311" s="79">
        <v>45.43</v>
      </c>
      <c r="H311" s="80">
        <v>28</v>
      </c>
      <c r="I311" s="81">
        <v>69.2</v>
      </c>
      <c r="J311" s="80">
        <v>81</v>
      </c>
      <c r="K311" s="79">
        <v>3679.83</v>
      </c>
      <c r="L311" s="82">
        <v>45799</v>
      </c>
      <c r="M311" s="80" t="str">
        <f t="shared" si="8"/>
        <v>At Risk</v>
      </c>
      <c r="N311" s="80" t="str">
        <f t="shared" si="9"/>
        <v>Low</v>
      </c>
    </row>
    <row r="312" spans="1:14" ht="16.5" x14ac:dyDescent="0.2">
      <c r="A312" s="72" t="s">
        <v>653</v>
      </c>
      <c r="B312" s="83" t="s">
        <v>654</v>
      </c>
      <c r="C312" s="83" t="s">
        <v>48</v>
      </c>
      <c r="D312" s="83" t="s">
        <v>40</v>
      </c>
      <c r="E312" s="83" t="s">
        <v>18</v>
      </c>
      <c r="F312" s="83" t="s">
        <v>1073</v>
      </c>
      <c r="G312" s="84">
        <v>94.58</v>
      </c>
      <c r="H312" s="85">
        <v>45</v>
      </c>
      <c r="I312" s="76">
        <v>56.2</v>
      </c>
      <c r="J312" s="85">
        <v>443</v>
      </c>
      <c r="K312" s="84">
        <v>41898.94</v>
      </c>
      <c r="L312" s="86">
        <v>45909</v>
      </c>
      <c r="M312" s="85" t="str">
        <f t="shared" si="8"/>
        <v>At Risk</v>
      </c>
      <c r="N312" s="85" t="str">
        <f t="shared" si="9"/>
        <v>Medium</v>
      </c>
    </row>
    <row r="313" spans="1:14" ht="16.5" x14ac:dyDescent="0.2">
      <c r="A313" s="126" t="s">
        <v>655</v>
      </c>
      <c r="B313" s="78" t="s">
        <v>656</v>
      </c>
      <c r="C313" s="78" t="s">
        <v>25</v>
      </c>
      <c r="D313" s="78" t="s">
        <v>40</v>
      </c>
      <c r="E313" s="78" t="s">
        <v>31</v>
      </c>
      <c r="F313" s="78" t="s">
        <v>27</v>
      </c>
      <c r="G313" s="79">
        <v>25.05</v>
      </c>
      <c r="H313" s="80">
        <v>4</v>
      </c>
      <c r="I313" s="81">
        <v>90.3</v>
      </c>
      <c r="J313" s="80">
        <v>416</v>
      </c>
      <c r="K313" s="79">
        <v>10420.799999999999</v>
      </c>
      <c r="L313" s="82">
        <v>45782</v>
      </c>
      <c r="M313" s="80" t="str">
        <f t="shared" si="8"/>
        <v>Monitor</v>
      </c>
      <c r="N313" s="80" t="str">
        <f t="shared" si="9"/>
        <v>Low</v>
      </c>
    </row>
    <row r="314" spans="1:14" ht="16.5" x14ac:dyDescent="0.2">
      <c r="A314" s="72" t="s">
        <v>657</v>
      </c>
      <c r="B314" s="83" t="s">
        <v>658</v>
      </c>
      <c r="C314" s="83" t="s">
        <v>16</v>
      </c>
      <c r="D314" s="83" t="s">
        <v>17</v>
      </c>
      <c r="E314" s="83" t="s">
        <v>58</v>
      </c>
      <c r="F314" s="83" t="s">
        <v>19</v>
      </c>
      <c r="G314" s="84">
        <v>446.21</v>
      </c>
      <c r="H314" s="85">
        <v>1</v>
      </c>
      <c r="I314" s="76">
        <v>99.4</v>
      </c>
      <c r="J314" s="85">
        <v>488</v>
      </c>
      <c r="K314" s="84">
        <v>217750.48</v>
      </c>
      <c r="L314" s="86">
        <v>45940</v>
      </c>
      <c r="M314" s="85" t="str">
        <f t="shared" si="8"/>
        <v>OK</v>
      </c>
      <c r="N314" s="85" t="str">
        <f t="shared" si="9"/>
        <v>High</v>
      </c>
    </row>
    <row r="315" spans="1:14" ht="16.5" x14ac:dyDescent="0.2">
      <c r="A315" s="126" t="s">
        <v>659</v>
      </c>
      <c r="B315" s="78" t="s">
        <v>660</v>
      </c>
      <c r="C315" s="78" t="s">
        <v>25</v>
      </c>
      <c r="D315" s="78" t="s">
        <v>40</v>
      </c>
      <c r="E315" s="78" t="s">
        <v>45</v>
      </c>
      <c r="F315" s="78" t="s">
        <v>27</v>
      </c>
      <c r="G315" s="79">
        <v>61.49</v>
      </c>
      <c r="H315" s="80">
        <v>50</v>
      </c>
      <c r="I315" s="81">
        <v>58.3</v>
      </c>
      <c r="J315" s="80">
        <v>310</v>
      </c>
      <c r="K315" s="79">
        <v>19061.900000000001</v>
      </c>
      <c r="L315" s="82">
        <v>45430</v>
      </c>
      <c r="M315" s="80" t="str">
        <f t="shared" si="8"/>
        <v>At Risk</v>
      </c>
      <c r="N315" s="80" t="str">
        <f t="shared" si="9"/>
        <v>Medium</v>
      </c>
    </row>
    <row r="316" spans="1:14" ht="16.5" x14ac:dyDescent="0.2">
      <c r="A316" s="72" t="s">
        <v>661</v>
      </c>
      <c r="B316" s="83" t="s">
        <v>662</v>
      </c>
      <c r="C316" s="83" t="s">
        <v>48</v>
      </c>
      <c r="D316" s="83" t="s">
        <v>17</v>
      </c>
      <c r="E316" s="83" t="s">
        <v>26</v>
      </c>
      <c r="F316" s="83" t="s">
        <v>1073</v>
      </c>
      <c r="G316" s="84">
        <v>114.1</v>
      </c>
      <c r="H316" s="85">
        <v>26</v>
      </c>
      <c r="I316" s="76">
        <v>77.8</v>
      </c>
      <c r="J316" s="85">
        <v>331</v>
      </c>
      <c r="K316" s="84">
        <v>37767.1</v>
      </c>
      <c r="L316" s="86">
        <v>46318</v>
      </c>
      <c r="M316" s="85" t="str">
        <f t="shared" si="8"/>
        <v>At Risk</v>
      </c>
      <c r="N316" s="85" t="str">
        <f t="shared" si="9"/>
        <v>Medium</v>
      </c>
    </row>
    <row r="317" spans="1:14" ht="16.5" x14ac:dyDescent="0.2">
      <c r="A317" s="126" t="s">
        <v>663</v>
      </c>
      <c r="B317" s="78" t="s">
        <v>664</v>
      </c>
      <c r="C317" s="78" t="s">
        <v>39</v>
      </c>
      <c r="D317" s="78" t="s">
        <v>17</v>
      </c>
      <c r="E317" s="78" t="s">
        <v>45</v>
      </c>
      <c r="F317" s="78" t="s">
        <v>42</v>
      </c>
      <c r="G317" s="79">
        <v>1604.1</v>
      </c>
      <c r="H317" s="80">
        <v>20</v>
      </c>
      <c r="I317" s="81">
        <v>58.6</v>
      </c>
      <c r="J317" s="80">
        <v>481</v>
      </c>
      <c r="K317" s="79">
        <v>771572.1</v>
      </c>
      <c r="L317" s="82">
        <v>45708</v>
      </c>
      <c r="M317" s="80" t="str">
        <f t="shared" si="8"/>
        <v>At Risk</v>
      </c>
      <c r="N317" s="80" t="str">
        <f t="shared" si="9"/>
        <v>Premium</v>
      </c>
    </row>
    <row r="318" spans="1:14" ht="16.5" x14ac:dyDescent="0.2">
      <c r="A318" s="72" t="s">
        <v>665</v>
      </c>
      <c r="B318" s="83" t="s">
        <v>666</v>
      </c>
      <c r="C318" s="83" t="s">
        <v>30</v>
      </c>
      <c r="D318" s="83" t="s">
        <v>40</v>
      </c>
      <c r="E318" s="83" t="s">
        <v>58</v>
      </c>
      <c r="F318" s="83" t="s">
        <v>1072</v>
      </c>
      <c r="G318" s="84">
        <v>758.31</v>
      </c>
      <c r="H318" s="85">
        <v>28</v>
      </c>
      <c r="I318" s="76">
        <v>87.8</v>
      </c>
      <c r="J318" s="85">
        <v>443</v>
      </c>
      <c r="K318" s="84">
        <v>335931.33</v>
      </c>
      <c r="L318" s="86">
        <v>45780</v>
      </c>
      <c r="M318" s="85" t="str">
        <f t="shared" si="8"/>
        <v>Monitor</v>
      </c>
      <c r="N318" s="85" t="str">
        <f t="shared" si="9"/>
        <v>High</v>
      </c>
    </row>
    <row r="319" spans="1:14" ht="16.5" x14ac:dyDescent="0.2">
      <c r="A319" s="126" t="s">
        <v>667</v>
      </c>
      <c r="B319" s="78" t="s">
        <v>668</v>
      </c>
      <c r="C319" s="78" t="s">
        <v>16</v>
      </c>
      <c r="D319" s="78" t="s">
        <v>34</v>
      </c>
      <c r="E319" s="78" t="s">
        <v>58</v>
      </c>
      <c r="F319" s="78" t="s">
        <v>19</v>
      </c>
      <c r="G319" s="79">
        <v>390.03</v>
      </c>
      <c r="H319" s="80">
        <v>39</v>
      </c>
      <c r="I319" s="81">
        <v>57.5</v>
      </c>
      <c r="J319" s="80">
        <v>351</v>
      </c>
      <c r="K319" s="79">
        <v>136900.53</v>
      </c>
      <c r="L319" s="82">
        <v>45651</v>
      </c>
      <c r="M319" s="80" t="str">
        <f t="shared" si="8"/>
        <v>At Risk</v>
      </c>
      <c r="N319" s="80" t="str">
        <f t="shared" si="9"/>
        <v>High</v>
      </c>
    </row>
    <row r="320" spans="1:14" ht="16.5" x14ac:dyDescent="0.2">
      <c r="A320" s="72" t="s">
        <v>669</v>
      </c>
      <c r="B320" s="83" t="s">
        <v>670</v>
      </c>
      <c r="C320" s="83" t="s">
        <v>48</v>
      </c>
      <c r="D320" s="83" t="s">
        <v>40</v>
      </c>
      <c r="E320" s="83" t="s">
        <v>45</v>
      </c>
      <c r="F320" s="83" t="s">
        <v>1073</v>
      </c>
      <c r="G320" s="84">
        <v>62.09</v>
      </c>
      <c r="H320" s="85">
        <v>23</v>
      </c>
      <c r="I320" s="76">
        <v>78.5</v>
      </c>
      <c r="J320" s="85">
        <v>410</v>
      </c>
      <c r="K320" s="84">
        <v>25456.9</v>
      </c>
      <c r="L320" s="86">
        <v>45822</v>
      </c>
      <c r="M320" s="85" t="str">
        <f t="shared" si="8"/>
        <v>At Risk</v>
      </c>
      <c r="N320" s="85" t="str">
        <f t="shared" si="9"/>
        <v>Medium</v>
      </c>
    </row>
    <row r="321" spans="1:14" ht="16.5" x14ac:dyDescent="0.2">
      <c r="A321" s="126" t="s">
        <v>671</v>
      </c>
      <c r="B321" s="78" t="s">
        <v>672</v>
      </c>
      <c r="C321" s="78" t="s">
        <v>48</v>
      </c>
      <c r="D321" s="78" t="s">
        <v>40</v>
      </c>
      <c r="E321" s="78" t="s">
        <v>18</v>
      </c>
      <c r="F321" s="78" t="s">
        <v>1073</v>
      </c>
      <c r="G321" s="79">
        <v>89.29</v>
      </c>
      <c r="H321" s="80">
        <v>8</v>
      </c>
      <c r="I321" s="81">
        <v>89.7</v>
      </c>
      <c r="J321" s="80">
        <v>25</v>
      </c>
      <c r="K321" s="79">
        <v>2232.25</v>
      </c>
      <c r="L321" s="82">
        <v>45978</v>
      </c>
      <c r="M321" s="80" t="str">
        <f t="shared" si="8"/>
        <v>Monitor</v>
      </c>
      <c r="N321" s="80" t="str">
        <f t="shared" si="9"/>
        <v>Medium</v>
      </c>
    </row>
    <row r="322" spans="1:14" ht="16.5" x14ac:dyDescent="0.2">
      <c r="A322" s="72" t="s">
        <v>673</v>
      </c>
      <c r="B322" s="83" t="s">
        <v>674</v>
      </c>
      <c r="C322" s="83" t="s">
        <v>25</v>
      </c>
      <c r="D322" s="83" t="s">
        <v>17</v>
      </c>
      <c r="E322" s="83" t="s">
        <v>58</v>
      </c>
      <c r="F322" s="83" t="s">
        <v>27</v>
      </c>
      <c r="G322" s="84">
        <v>40.700000000000003</v>
      </c>
      <c r="H322" s="85">
        <v>33</v>
      </c>
      <c r="I322" s="76">
        <v>71.2</v>
      </c>
      <c r="J322" s="85">
        <v>265</v>
      </c>
      <c r="K322" s="84">
        <v>10785.5</v>
      </c>
      <c r="L322" s="86">
        <v>45633</v>
      </c>
      <c r="M322" s="85" t="str">
        <f t="shared" ref="M322:M385" si="10">IF(I322&lt;85,"At Risk",IF(I322&lt;92,"Monitor","OK"))</f>
        <v>At Risk</v>
      </c>
      <c r="N322" s="85" t="str">
        <f t="shared" ref="N322:N385" si="11">IF(G322&lt;50,"Low",IF(G322&lt;250,"Medium",IF(G322&lt;1000,"High","Premium")))</f>
        <v>Low</v>
      </c>
    </row>
    <row r="323" spans="1:14" ht="16.5" x14ac:dyDescent="0.2">
      <c r="A323" s="126" t="s">
        <v>675</v>
      </c>
      <c r="B323" s="78" t="s">
        <v>676</v>
      </c>
      <c r="C323" s="78" t="s">
        <v>30</v>
      </c>
      <c r="D323" s="78" t="s">
        <v>34</v>
      </c>
      <c r="E323" s="78" t="s">
        <v>58</v>
      </c>
      <c r="F323" s="78" t="s">
        <v>1072</v>
      </c>
      <c r="G323" s="79">
        <v>611.13</v>
      </c>
      <c r="H323" s="80">
        <v>33</v>
      </c>
      <c r="I323" s="81">
        <v>55.1</v>
      </c>
      <c r="J323" s="80">
        <v>449</v>
      </c>
      <c r="K323" s="79">
        <v>274397.37</v>
      </c>
      <c r="L323" s="82">
        <v>45317</v>
      </c>
      <c r="M323" s="80" t="str">
        <f t="shared" si="10"/>
        <v>At Risk</v>
      </c>
      <c r="N323" s="80" t="str">
        <f t="shared" si="11"/>
        <v>High</v>
      </c>
    </row>
    <row r="324" spans="1:14" ht="16.5" x14ac:dyDescent="0.2">
      <c r="A324" s="72" t="s">
        <v>677</v>
      </c>
      <c r="B324" s="83" t="s">
        <v>678</v>
      </c>
      <c r="C324" s="83" t="s">
        <v>39</v>
      </c>
      <c r="D324" s="83" t="s">
        <v>40</v>
      </c>
      <c r="E324" s="83" t="s">
        <v>45</v>
      </c>
      <c r="F324" s="83" t="s">
        <v>42</v>
      </c>
      <c r="G324" s="84">
        <v>1141.1199999999999</v>
      </c>
      <c r="H324" s="85">
        <v>55</v>
      </c>
      <c r="I324" s="76">
        <v>56.6</v>
      </c>
      <c r="J324" s="85">
        <v>421</v>
      </c>
      <c r="K324" s="84">
        <v>480411.52</v>
      </c>
      <c r="L324" s="86">
        <v>46150</v>
      </c>
      <c r="M324" s="85" t="str">
        <f t="shared" si="10"/>
        <v>At Risk</v>
      </c>
      <c r="N324" s="85" t="str">
        <f t="shared" si="11"/>
        <v>Premium</v>
      </c>
    </row>
    <row r="325" spans="1:14" ht="16.5" x14ac:dyDescent="0.2">
      <c r="A325" s="126" t="s">
        <v>679</v>
      </c>
      <c r="B325" s="78" t="s">
        <v>680</v>
      </c>
      <c r="C325" s="78" t="s">
        <v>48</v>
      </c>
      <c r="D325" s="78" t="s">
        <v>40</v>
      </c>
      <c r="E325" s="78" t="s">
        <v>41</v>
      </c>
      <c r="F325" s="78" t="s">
        <v>1073</v>
      </c>
      <c r="G325" s="79">
        <v>36.19</v>
      </c>
      <c r="H325" s="80">
        <v>5</v>
      </c>
      <c r="I325" s="81">
        <v>80.7</v>
      </c>
      <c r="J325" s="80">
        <v>71</v>
      </c>
      <c r="K325" s="79">
        <v>2569.4899999999998</v>
      </c>
      <c r="L325" s="82">
        <v>46320</v>
      </c>
      <c r="M325" s="80" t="str">
        <f t="shared" si="10"/>
        <v>At Risk</v>
      </c>
      <c r="N325" s="80" t="str">
        <f t="shared" si="11"/>
        <v>Low</v>
      </c>
    </row>
    <row r="326" spans="1:14" ht="16.5" x14ac:dyDescent="0.2">
      <c r="A326" s="72" t="s">
        <v>681</v>
      </c>
      <c r="B326" s="83" t="s">
        <v>682</v>
      </c>
      <c r="C326" s="83" t="s">
        <v>48</v>
      </c>
      <c r="D326" s="83" t="s">
        <v>34</v>
      </c>
      <c r="E326" s="83" t="s">
        <v>26</v>
      </c>
      <c r="F326" s="83" t="s">
        <v>1073</v>
      </c>
      <c r="G326" s="84">
        <v>114.72</v>
      </c>
      <c r="H326" s="85">
        <v>5</v>
      </c>
      <c r="I326" s="76">
        <v>94.5</v>
      </c>
      <c r="J326" s="85">
        <v>453</v>
      </c>
      <c r="K326" s="84">
        <v>51968.160000000003</v>
      </c>
      <c r="L326" s="86">
        <v>45870</v>
      </c>
      <c r="M326" s="85" t="str">
        <f t="shared" si="10"/>
        <v>OK</v>
      </c>
      <c r="N326" s="85" t="str">
        <f t="shared" si="11"/>
        <v>Medium</v>
      </c>
    </row>
    <row r="327" spans="1:14" ht="16.5" x14ac:dyDescent="0.2">
      <c r="A327" s="126" t="s">
        <v>683</v>
      </c>
      <c r="B327" s="78" t="s">
        <v>684</v>
      </c>
      <c r="C327" s="78" t="s">
        <v>16</v>
      </c>
      <c r="D327" s="78" t="s">
        <v>40</v>
      </c>
      <c r="E327" s="78" t="s">
        <v>26</v>
      </c>
      <c r="F327" s="78" t="s">
        <v>19</v>
      </c>
      <c r="G327" s="79">
        <v>326.69</v>
      </c>
      <c r="H327" s="80">
        <v>19</v>
      </c>
      <c r="I327" s="81">
        <v>80.400000000000006</v>
      </c>
      <c r="J327" s="80">
        <v>165</v>
      </c>
      <c r="K327" s="79">
        <v>53903.85</v>
      </c>
      <c r="L327" s="82">
        <v>45788</v>
      </c>
      <c r="M327" s="80" t="str">
        <f t="shared" si="10"/>
        <v>At Risk</v>
      </c>
      <c r="N327" s="80" t="str">
        <f t="shared" si="11"/>
        <v>High</v>
      </c>
    </row>
    <row r="328" spans="1:14" ht="16.5" x14ac:dyDescent="0.2">
      <c r="A328" s="72" t="s">
        <v>685</v>
      </c>
      <c r="B328" s="83" t="s">
        <v>686</v>
      </c>
      <c r="C328" s="83" t="s">
        <v>25</v>
      </c>
      <c r="D328" s="83" t="s">
        <v>34</v>
      </c>
      <c r="E328" s="83" t="s">
        <v>22</v>
      </c>
      <c r="F328" s="83" t="s">
        <v>27</v>
      </c>
      <c r="G328" s="84">
        <v>59.13</v>
      </c>
      <c r="H328" s="85">
        <v>35</v>
      </c>
      <c r="I328" s="76">
        <v>89.2</v>
      </c>
      <c r="J328" s="85">
        <v>135</v>
      </c>
      <c r="K328" s="84">
        <v>7982.55</v>
      </c>
      <c r="L328" s="86">
        <v>45600</v>
      </c>
      <c r="M328" s="85" t="str">
        <f t="shared" si="10"/>
        <v>Monitor</v>
      </c>
      <c r="N328" s="85" t="str">
        <f t="shared" si="11"/>
        <v>Medium</v>
      </c>
    </row>
    <row r="329" spans="1:14" ht="16.5" x14ac:dyDescent="0.2">
      <c r="A329" s="126" t="s">
        <v>687</v>
      </c>
      <c r="B329" s="78" t="s">
        <v>688</v>
      </c>
      <c r="C329" s="78" t="s">
        <v>16</v>
      </c>
      <c r="D329" s="78" t="s">
        <v>17</v>
      </c>
      <c r="E329" s="78" t="s">
        <v>41</v>
      </c>
      <c r="F329" s="78" t="s">
        <v>19</v>
      </c>
      <c r="G329" s="79">
        <v>526.96</v>
      </c>
      <c r="H329" s="80">
        <v>45</v>
      </c>
      <c r="I329" s="81">
        <v>94.5</v>
      </c>
      <c r="J329" s="80">
        <v>496</v>
      </c>
      <c r="K329" s="79">
        <v>261372.16</v>
      </c>
      <c r="L329" s="82">
        <v>45978</v>
      </c>
      <c r="M329" s="80" t="str">
        <f t="shared" si="10"/>
        <v>OK</v>
      </c>
      <c r="N329" s="80" t="str">
        <f t="shared" si="11"/>
        <v>High</v>
      </c>
    </row>
    <row r="330" spans="1:14" ht="16.5" x14ac:dyDescent="0.2">
      <c r="A330" s="72" t="s">
        <v>689</v>
      </c>
      <c r="B330" s="83" t="s">
        <v>690</v>
      </c>
      <c r="C330" s="83" t="s">
        <v>30</v>
      </c>
      <c r="D330" s="83" t="s">
        <v>17</v>
      </c>
      <c r="E330" s="83" t="s">
        <v>22</v>
      </c>
      <c r="F330" s="83" t="s">
        <v>1072</v>
      </c>
      <c r="G330" s="84">
        <v>955.67</v>
      </c>
      <c r="H330" s="85">
        <v>4</v>
      </c>
      <c r="I330" s="76">
        <v>98.8</v>
      </c>
      <c r="J330" s="85">
        <v>82</v>
      </c>
      <c r="K330" s="84">
        <v>78364.94</v>
      </c>
      <c r="L330" s="86">
        <v>45865</v>
      </c>
      <c r="M330" s="85" t="str">
        <f t="shared" si="10"/>
        <v>OK</v>
      </c>
      <c r="N330" s="85" t="str">
        <f t="shared" si="11"/>
        <v>High</v>
      </c>
    </row>
    <row r="331" spans="1:14" ht="16.5" x14ac:dyDescent="0.2">
      <c r="A331" s="126" t="s">
        <v>691</v>
      </c>
      <c r="B331" s="78" t="s">
        <v>692</v>
      </c>
      <c r="C331" s="78" t="s">
        <v>48</v>
      </c>
      <c r="D331" s="78" t="s">
        <v>34</v>
      </c>
      <c r="E331" s="78" t="s">
        <v>31</v>
      </c>
      <c r="F331" s="78" t="s">
        <v>1073</v>
      </c>
      <c r="G331" s="79">
        <v>85.6</v>
      </c>
      <c r="H331" s="80">
        <v>24</v>
      </c>
      <c r="I331" s="81">
        <v>75.599999999999994</v>
      </c>
      <c r="J331" s="80">
        <v>392</v>
      </c>
      <c r="K331" s="79">
        <v>33555.199999999997</v>
      </c>
      <c r="L331" s="82">
        <v>45465</v>
      </c>
      <c r="M331" s="80" t="str">
        <f t="shared" si="10"/>
        <v>At Risk</v>
      </c>
      <c r="N331" s="80" t="str">
        <f t="shared" si="11"/>
        <v>Medium</v>
      </c>
    </row>
    <row r="332" spans="1:14" ht="16.5" x14ac:dyDescent="0.2">
      <c r="A332" s="72" t="s">
        <v>693</v>
      </c>
      <c r="B332" s="83" t="s">
        <v>694</v>
      </c>
      <c r="C332" s="83" t="s">
        <v>25</v>
      </c>
      <c r="D332" s="83" t="s">
        <v>17</v>
      </c>
      <c r="E332" s="83" t="s">
        <v>31</v>
      </c>
      <c r="F332" s="83" t="s">
        <v>27</v>
      </c>
      <c r="G332" s="84">
        <v>7.84</v>
      </c>
      <c r="H332" s="85">
        <v>37</v>
      </c>
      <c r="I332" s="76">
        <v>57.8</v>
      </c>
      <c r="J332" s="85">
        <v>349</v>
      </c>
      <c r="K332" s="84">
        <v>2736.16</v>
      </c>
      <c r="L332" s="86">
        <v>45559</v>
      </c>
      <c r="M332" s="85" t="str">
        <f t="shared" si="10"/>
        <v>At Risk</v>
      </c>
      <c r="N332" s="85" t="str">
        <f t="shared" si="11"/>
        <v>Low</v>
      </c>
    </row>
    <row r="333" spans="1:14" ht="16.5" x14ac:dyDescent="0.2">
      <c r="A333" s="126" t="s">
        <v>695</v>
      </c>
      <c r="B333" s="78" t="s">
        <v>696</v>
      </c>
      <c r="C333" s="78" t="s">
        <v>30</v>
      </c>
      <c r="D333" s="78" t="s">
        <v>34</v>
      </c>
      <c r="E333" s="78" t="s">
        <v>31</v>
      </c>
      <c r="F333" s="78" t="s">
        <v>1072</v>
      </c>
      <c r="G333" s="79">
        <v>1461.31</v>
      </c>
      <c r="H333" s="80">
        <v>48</v>
      </c>
      <c r="I333" s="81">
        <v>69.7</v>
      </c>
      <c r="J333" s="80">
        <v>241</v>
      </c>
      <c r="K333" s="79">
        <v>352175.71</v>
      </c>
      <c r="L333" s="82">
        <v>45848</v>
      </c>
      <c r="M333" s="80" t="str">
        <f t="shared" si="10"/>
        <v>At Risk</v>
      </c>
      <c r="N333" s="80" t="str">
        <f t="shared" si="11"/>
        <v>Premium</v>
      </c>
    </row>
    <row r="334" spans="1:14" ht="16.5" x14ac:dyDescent="0.2">
      <c r="A334" s="72" t="s">
        <v>697</v>
      </c>
      <c r="B334" s="83" t="s">
        <v>698</v>
      </c>
      <c r="C334" s="83" t="s">
        <v>48</v>
      </c>
      <c r="D334" s="83" t="s">
        <v>17</v>
      </c>
      <c r="E334" s="83" t="s">
        <v>58</v>
      </c>
      <c r="F334" s="83" t="s">
        <v>1073</v>
      </c>
      <c r="G334" s="84">
        <v>22.87</v>
      </c>
      <c r="H334" s="85">
        <v>11</v>
      </c>
      <c r="I334" s="76">
        <v>75.2</v>
      </c>
      <c r="J334" s="85">
        <v>170</v>
      </c>
      <c r="K334" s="84">
        <v>3887.9</v>
      </c>
      <c r="L334" s="86">
        <v>46124</v>
      </c>
      <c r="M334" s="85" t="str">
        <f t="shared" si="10"/>
        <v>At Risk</v>
      </c>
      <c r="N334" s="85" t="str">
        <f t="shared" si="11"/>
        <v>Low</v>
      </c>
    </row>
    <row r="335" spans="1:14" ht="16.5" x14ac:dyDescent="0.2">
      <c r="A335" s="126" t="s">
        <v>699</v>
      </c>
      <c r="B335" s="78" t="s">
        <v>700</v>
      </c>
      <c r="C335" s="78" t="s">
        <v>30</v>
      </c>
      <c r="D335" s="78" t="s">
        <v>34</v>
      </c>
      <c r="E335" s="78" t="s">
        <v>22</v>
      </c>
      <c r="F335" s="78" t="s">
        <v>1072</v>
      </c>
      <c r="G335" s="79">
        <v>1013.45</v>
      </c>
      <c r="H335" s="80">
        <v>30</v>
      </c>
      <c r="I335" s="81">
        <v>66.900000000000006</v>
      </c>
      <c r="J335" s="80">
        <v>71</v>
      </c>
      <c r="K335" s="79">
        <v>71954.95</v>
      </c>
      <c r="L335" s="82">
        <v>45477</v>
      </c>
      <c r="M335" s="80" t="str">
        <f t="shared" si="10"/>
        <v>At Risk</v>
      </c>
      <c r="N335" s="80" t="str">
        <f t="shared" si="11"/>
        <v>Premium</v>
      </c>
    </row>
    <row r="336" spans="1:14" ht="16.5" x14ac:dyDescent="0.2">
      <c r="A336" s="72" t="s">
        <v>701</v>
      </c>
      <c r="B336" s="83" t="s">
        <v>702</v>
      </c>
      <c r="C336" s="83" t="s">
        <v>25</v>
      </c>
      <c r="D336" s="83" t="s">
        <v>17</v>
      </c>
      <c r="E336" s="83" t="s">
        <v>41</v>
      </c>
      <c r="F336" s="83" t="s">
        <v>27</v>
      </c>
      <c r="G336" s="84">
        <v>13.57</v>
      </c>
      <c r="H336" s="85">
        <v>46</v>
      </c>
      <c r="I336" s="76">
        <v>66.2</v>
      </c>
      <c r="J336" s="85">
        <v>192</v>
      </c>
      <c r="K336" s="84">
        <v>2605.44</v>
      </c>
      <c r="L336" s="86">
        <v>46103</v>
      </c>
      <c r="M336" s="85" t="str">
        <f t="shared" si="10"/>
        <v>At Risk</v>
      </c>
      <c r="N336" s="85" t="str">
        <f t="shared" si="11"/>
        <v>Low</v>
      </c>
    </row>
    <row r="337" spans="1:14" ht="16.5" x14ac:dyDescent="0.2">
      <c r="A337" s="126" t="s">
        <v>703</v>
      </c>
      <c r="B337" s="78" t="s">
        <v>704</v>
      </c>
      <c r="C337" s="78" t="s">
        <v>30</v>
      </c>
      <c r="D337" s="78" t="s">
        <v>17</v>
      </c>
      <c r="E337" s="78" t="s">
        <v>45</v>
      </c>
      <c r="F337" s="78" t="s">
        <v>1072</v>
      </c>
      <c r="G337" s="79">
        <v>255.95</v>
      </c>
      <c r="H337" s="80">
        <v>26</v>
      </c>
      <c r="I337" s="81">
        <v>93.5</v>
      </c>
      <c r="J337" s="80">
        <v>294</v>
      </c>
      <c r="K337" s="79">
        <v>75249.3</v>
      </c>
      <c r="L337" s="82">
        <v>45803</v>
      </c>
      <c r="M337" s="80" t="str">
        <f t="shared" si="10"/>
        <v>OK</v>
      </c>
      <c r="N337" s="80" t="str">
        <f t="shared" si="11"/>
        <v>High</v>
      </c>
    </row>
    <row r="338" spans="1:14" ht="16.5" x14ac:dyDescent="0.2">
      <c r="A338" s="72" t="s">
        <v>705</v>
      </c>
      <c r="B338" s="83" t="s">
        <v>706</v>
      </c>
      <c r="C338" s="83" t="s">
        <v>16</v>
      </c>
      <c r="D338" s="83" t="s">
        <v>34</v>
      </c>
      <c r="E338" s="83" t="s">
        <v>45</v>
      </c>
      <c r="F338" s="83" t="s">
        <v>19</v>
      </c>
      <c r="G338" s="84">
        <v>141.09</v>
      </c>
      <c r="H338" s="85">
        <v>4</v>
      </c>
      <c r="I338" s="76">
        <v>92.4</v>
      </c>
      <c r="J338" s="85">
        <v>123</v>
      </c>
      <c r="K338" s="84">
        <v>17354.07</v>
      </c>
      <c r="L338" s="86">
        <v>45559</v>
      </c>
      <c r="M338" s="85" t="str">
        <f t="shared" si="10"/>
        <v>OK</v>
      </c>
      <c r="N338" s="85" t="str">
        <f t="shared" si="11"/>
        <v>Medium</v>
      </c>
    </row>
    <row r="339" spans="1:14" ht="16.5" x14ac:dyDescent="0.2">
      <c r="A339" s="126" t="s">
        <v>707</v>
      </c>
      <c r="B339" s="78" t="s">
        <v>708</v>
      </c>
      <c r="C339" s="78" t="s">
        <v>30</v>
      </c>
      <c r="D339" s="78" t="s">
        <v>40</v>
      </c>
      <c r="E339" s="78" t="s">
        <v>58</v>
      </c>
      <c r="F339" s="78" t="s">
        <v>1072</v>
      </c>
      <c r="G339" s="79">
        <v>1248.18</v>
      </c>
      <c r="H339" s="80">
        <v>17</v>
      </c>
      <c r="I339" s="81">
        <v>96.3</v>
      </c>
      <c r="J339" s="80">
        <v>48</v>
      </c>
      <c r="K339" s="79">
        <v>59912.639999999999</v>
      </c>
      <c r="L339" s="82">
        <v>45336</v>
      </c>
      <c r="M339" s="80" t="str">
        <f t="shared" si="10"/>
        <v>OK</v>
      </c>
      <c r="N339" s="80" t="str">
        <f t="shared" si="11"/>
        <v>Premium</v>
      </c>
    </row>
    <row r="340" spans="1:14" ht="16.5" x14ac:dyDescent="0.2">
      <c r="A340" s="72" t="s">
        <v>709</v>
      </c>
      <c r="B340" s="83" t="s">
        <v>710</v>
      </c>
      <c r="C340" s="83" t="s">
        <v>39</v>
      </c>
      <c r="D340" s="83" t="s">
        <v>34</v>
      </c>
      <c r="E340" s="83" t="s">
        <v>58</v>
      </c>
      <c r="F340" s="83" t="s">
        <v>42</v>
      </c>
      <c r="G340" s="84">
        <v>4553.87</v>
      </c>
      <c r="H340" s="85">
        <v>54</v>
      </c>
      <c r="I340" s="76">
        <v>91.4</v>
      </c>
      <c r="J340" s="85">
        <v>72</v>
      </c>
      <c r="K340" s="84">
        <v>327878.64</v>
      </c>
      <c r="L340" s="86">
        <v>45379</v>
      </c>
      <c r="M340" s="85" t="str">
        <f t="shared" si="10"/>
        <v>Monitor</v>
      </c>
      <c r="N340" s="85" t="str">
        <f t="shared" si="11"/>
        <v>Premium</v>
      </c>
    </row>
    <row r="341" spans="1:14" ht="16.5" x14ac:dyDescent="0.2">
      <c r="A341" s="126" t="s">
        <v>711</v>
      </c>
      <c r="B341" s="78" t="s">
        <v>712</v>
      </c>
      <c r="C341" s="78" t="s">
        <v>48</v>
      </c>
      <c r="D341" s="78" t="s">
        <v>34</v>
      </c>
      <c r="E341" s="78" t="s">
        <v>31</v>
      </c>
      <c r="F341" s="78" t="s">
        <v>1073</v>
      </c>
      <c r="G341" s="79">
        <v>99.49</v>
      </c>
      <c r="H341" s="80">
        <v>26</v>
      </c>
      <c r="I341" s="81">
        <v>77.3</v>
      </c>
      <c r="J341" s="80">
        <v>205</v>
      </c>
      <c r="K341" s="79">
        <v>20395.45</v>
      </c>
      <c r="L341" s="82">
        <v>46165</v>
      </c>
      <c r="M341" s="80" t="str">
        <f t="shared" si="10"/>
        <v>At Risk</v>
      </c>
      <c r="N341" s="80" t="str">
        <f t="shared" si="11"/>
        <v>Medium</v>
      </c>
    </row>
    <row r="342" spans="1:14" ht="16.5" x14ac:dyDescent="0.2">
      <c r="A342" s="72" t="s">
        <v>713</v>
      </c>
      <c r="B342" s="83" t="s">
        <v>714</v>
      </c>
      <c r="C342" s="83" t="s">
        <v>48</v>
      </c>
      <c r="D342" s="83" t="s">
        <v>34</v>
      </c>
      <c r="E342" s="83" t="s">
        <v>18</v>
      </c>
      <c r="F342" s="83" t="s">
        <v>1073</v>
      </c>
      <c r="G342" s="84">
        <v>37.18</v>
      </c>
      <c r="H342" s="85">
        <v>57</v>
      </c>
      <c r="I342" s="76">
        <v>61.7</v>
      </c>
      <c r="J342" s="85">
        <v>324</v>
      </c>
      <c r="K342" s="84">
        <v>12046.32</v>
      </c>
      <c r="L342" s="86">
        <v>45795</v>
      </c>
      <c r="M342" s="85" t="str">
        <f t="shared" si="10"/>
        <v>At Risk</v>
      </c>
      <c r="N342" s="85" t="str">
        <f t="shared" si="11"/>
        <v>Low</v>
      </c>
    </row>
    <row r="343" spans="1:14" ht="16.5" x14ac:dyDescent="0.2">
      <c r="A343" s="126" t="s">
        <v>715</v>
      </c>
      <c r="B343" s="78" t="s">
        <v>716</v>
      </c>
      <c r="C343" s="78" t="s">
        <v>39</v>
      </c>
      <c r="D343" s="78" t="s">
        <v>34</v>
      </c>
      <c r="E343" s="78" t="s">
        <v>51</v>
      </c>
      <c r="F343" s="78" t="s">
        <v>42</v>
      </c>
      <c r="G343" s="79">
        <v>586.6</v>
      </c>
      <c r="H343" s="80">
        <v>18</v>
      </c>
      <c r="I343" s="81">
        <v>72.2</v>
      </c>
      <c r="J343" s="80">
        <v>224</v>
      </c>
      <c r="K343" s="79">
        <v>131398.39999999999</v>
      </c>
      <c r="L343" s="82">
        <v>45700</v>
      </c>
      <c r="M343" s="80" t="str">
        <f t="shared" si="10"/>
        <v>At Risk</v>
      </c>
      <c r="N343" s="80" t="str">
        <f t="shared" si="11"/>
        <v>High</v>
      </c>
    </row>
    <row r="344" spans="1:14" ht="16.5" x14ac:dyDescent="0.2">
      <c r="A344" s="72" t="s">
        <v>717</v>
      </c>
      <c r="B344" s="83" t="s">
        <v>718</v>
      </c>
      <c r="C344" s="83" t="s">
        <v>25</v>
      </c>
      <c r="D344" s="83" t="s">
        <v>34</v>
      </c>
      <c r="E344" s="83" t="s">
        <v>31</v>
      </c>
      <c r="F344" s="83" t="s">
        <v>27</v>
      </c>
      <c r="G344" s="84">
        <v>62.99</v>
      </c>
      <c r="H344" s="85">
        <v>23</v>
      </c>
      <c r="I344" s="76">
        <v>76.599999999999994</v>
      </c>
      <c r="J344" s="85">
        <v>410</v>
      </c>
      <c r="K344" s="84">
        <v>25825.9</v>
      </c>
      <c r="L344" s="86">
        <v>46284</v>
      </c>
      <c r="M344" s="85" t="str">
        <f t="shared" si="10"/>
        <v>At Risk</v>
      </c>
      <c r="N344" s="85" t="str">
        <f t="shared" si="11"/>
        <v>Medium</v>
      </c>
    </row>
    <row r="345" spans="1:14" ht="16.5" x14ac:dyDescent="0.2">
      <c r="A345" s="126" t="s">
        <v>719</v>
      </c>
      <c r="B345" s="78" t="s">
        <v>720</v>
      </c>
      <c r="C345" s="78" t="s">
        <v>25</v>
      </c>
      <c r="D345" s="78" t="s">
        <v>40</v>
      </c>
      <c r="E345" s="78" t="s">
        <v>18</v>
      </c>
      <c r="F345" s="78" t="s">
        <v>27</v>
      </c>
      <c r="G345" s="79">
        <v>16.03</v>
      </c>
      <c r="H345" s="80">
        <v>21</v>
      </c>
      <c r="I345" s="81">
        <v>81.900000000000006</v>
      </c>
      <c r="J345" s="80">
        <v>25</v>
      </c>
      <c r="K345" s="79">
        <v>400.75</v>
      </c>
      <c r="L345" s="82">
        <v>45867</v>
      </c>
      <c r="M345" s="80" t="str">
        <f t="shared" si="10"/>
        <v>At Risk</v>
      </c>
      <c r="N345" s="80" t="str">
        <f t="shared" si="11"/>
        <v>Low</v>
      </c>
    </row>
    <row r="346" spans="1:14" ht="16.5" x14ac:dyDescent="0.2">
      <c r="A346" s="72" t="s">
        <v>721</v>
      </c>
      <c r="B346" s="83" t="s">
        <v>722</v>
      </c>
      <c r="C346" s="83" t="s">
        <v>25</v>
      </c>
      <c r="D346" s="83" t="s">
        <v>40</v>
      </c>
      <c r="E346" s="83" t="s">
        <v>22</v>
      </c>
      <c r="F346" s="83" t="s">
        <v>27</v>
      </c>
      <c r="G346" s="84">
        <v>77.97</v>
      </c>
      <c r="H346" s="85">
        <v>7</v>
      </c>
      <c r="I346" s="76">
        <v>66.2</v>
      </c>
      <c r="J346" s="85">
        <v>133</v>
      </c>
      <c r="K346" s="84">
        <v>10370.01</v>
      </c>
      <c r="L346" s="86">
        <v>45837</v>
      </c>
      <c r="M346" s="85" t="str">
        <f t="shared" si="10"/>
        <v>At Risk</v>
      </c>
      <c r="N346" s="85" t="str">
        <f t="shared" si="11"/>
        <v>Medium</v>
      </c>
    </row>
    <row r="347" spans="1:14" ht="16.5" x14ac:dyDescent="0.2">
      <c r="A347" s="126" t="s">
        <v>723</v>
      </c>
      <c r="B347" s="78" t="s">
        <v>724</v>
      </c>
      <c r="C347" s="78" t="s">
        <v>48</v>
      </c>
      <c r="D347" s="78" t="s">
        <v>40</v>
      </c>
      <c r="E347" s="78" t="s">
        <v>31</v>
      </c>
      <c r="F347" s="78" t="s">
        <v>1073</v>
      </c>
      <c r="G347" s="79">
        <v>45.8</v>
      </c>
      <c r="H347" s="80">
        <v>54</v>
      </c>
      <c r="I347" s="81">
        <v>99.6</v>
      </c>
      <c r="J347" s="80">
        <v>98</v>
      </c>
      <c r="K347" s="79">
        <v>4488.3999999999996</v>
      </c>
      <c r="L347" s="82">
        <v>45652</v>
      </c>
      <c r="M347" s="80" t="str">
        <f t="shared" si="10"/>
        <v>OK</v>
      </c>
      <c r="N347" s="80" t="str">
        <f t="shared" si="11"/>
        <v>Low</v>
      </c>
    </row>
    <row r="348" spans="1:14" ht="16.5" x14ac:dyDescent="0.2">
      <c r="A348" s="72" t="s">
        <v>725</v>
      </c>
      <c r="B348" s="83" t="s">
        <v>726</v>
      </c>
      <c r="C348" s="83" t="s">
        <v>30</v>
      </c>
      <c r="D348" s="83" t="s">
        <v>34</v>
      </c>
      <c r="E348" s="83" t="s">
        <v>41</v>
      </c>
      <c r="F348" s="83" t="s">
        <v>1072</v>
      </c>
      <c r="G348" s="84">
        <v>1845.16</v>
      </c>
      <c r="H348" s="85">
        <v>2</v>
      </c>
      <c r="I348" s="76">
        <v>86.7</v>
      </c>
      <c r="J348" s="85">
        <v>190</v>
      </c>
      <c r="K348" s="84">
        <v>350580.4</v>
      </c>
      <c r="L348" s="86">
        <v>45583</v>
      </c>
      <c r="M348" s="85" t="str">
        <f t="shared" si="10"/>
        <v>Monitor</v>
      </c>
      <c r="N348" s="85" t="str">
        <f t="shared" si="11"/>
        <v>Premium</v>
      </c>
    </row>
    <row r="349" spans="1:14" ht="16.5" x14ac:dyDescent="0.2">
      <c r="A349" s="126" t="s">
        <v>727</v>
      </c>
      <c r="B349" s="78" t="s">
        <v>728</v>
      </c>
      <c r="C349" s="78" t="s">
        <v>39</v>
      </c>
      <c r="D349" s="78" t="s">
        <v>40</v>
      </c>
      <c r="E349" s="78" t="s">
        <v>45</v>
      </c>
      <c r="F349" s="78" t="s">
        <v>42</v>
      </c>
      <c r="G349" s="79">
        <v>2605.0500000000002</v>
      </c>
      <c r="H349" s="80">
        <v>6</v>
      </c>
      <c r="I349" s="81">
        <v>57.5</v>
      </c>
      <c r="J349" s="80">
        <v>318</v>
      </c>
      <c r="K349" s="79">
        <v>828405.9</v>
      </c>
      <c r="L349" s="82">
        <v>45740</v>
      </c>
      <c r="M349" s="80" t="str">
        <f t="shared" si="10"/>
        <v>At Risk</v>
      </c>
      <c r="N349" s="80" t="str">
        <f t="shared" si="11"/>
        <v>Premium</v>
      </c>
    </row>
    <row r="350" spans="1:14" ht="16.5" x14ac:dyDescent="0.2">
      <c r="A350" s="72" t="s">
        <v>729</v>
      </c>
      <c r="B350" s="83" t="s">
        <v>730</v>
      </c>
      <c r="C350" s="83" t="s">
        <v>39</v>
      </c>
      <c r="D350" s="83" t="s">
        <v>17</v>
      </c>
      <c r="E350" s="83" t="s">
        <v>22</v>
      </c>
      <c r="F350" s="83" t="s">
        <v>42</v>
      </c>
      <c r="G350" s="84">
        <v>4090.29</v>
      </c>
      <c r="H350" s="85">
        <v>22</v>
      </c>
      <c r="I350" s="76">
        <v>87.3</v>
      </c>
      <c r="J350" s="85">
        <v>480</v>
      </c>
      <c r="K350" s="84">
        <v>1963339.2</v>
      </c>
      <c r="L350" s="86">
        <v>45954</v>
      </c>
      <c r="M350" s="85" t="str">
        <f t="shared" si="10"/>
        <v>Monitor</v>
      </c>
      <c r="N350" s="85" t="str">
        <f t="shared" si="11"/>
        <v>Premium</v>
      </c>
    </row>
    <row r="351" spans="1:14" ht="16.5" x14ac:dyDescent="0.2">
      <c r="A351" s="126" t="s">
        <v>731</v>
      </c>
      <c r="B351" s="78" t="s">
        <v>732</v>
      </c>
      <c r="C351" s="78" t="s">
        <v>48</v>
      </c>
      <c r="D351" s="78" t="s">
        <v>40</v>
      </c>
      <c r="E351" s="78" t="s">
        <v>45</v>
      </c>
      <c r="F351" s="78" t="s">
        <v>1073</v>
      </c>
      <c r="G351" s="79">
        <v>94.05</v>
      </c>
      <c r="H351" s="80">
        <v>55</v>
      </c>
      <c r="I351" s="81">
        <v>78.7</v>
      </c>
      <c r="J351" s="80">
        <v>196</v>
      </c>
      <c r="K351" s="79">
        <v>18433.8</v>
      </c>
      <c r="L351" s="82">
        <v>45440</v>
      </c>
      <c r="M351" s="80" t="str">
        <f t="shared" si="10"/>
        <v>At Risk</v>
      </c>
      <c r="N351" s="80" t="str">
        <f t="shared" si="11"/>
        <v>Medium</v>
      </c>
    </row>
    <row r="352" spans="1:14" ht="16.5" x14ac:dyDescent="0.2">
      <c r="A352" s="72" t="s">
        <v>733</v>
      </c>
      <c r="B352" s="83" t="s">
        <v>734</v>
      </c>
      <c r="C352" s="83" t="s">
        <v>25</v>
      </c>
      <c r="D352" s="83" t="s">
        <v>17</v>
      </c>
      <c r="E352" s="83" t="s">
        <v>18</v>
      </c>
      <c r="F352" s="83" t="s">
        <v>27</v>
      </c>
      <c r="G352" s="84">
        <v>27.16</v>
      </c>
      <c r="H352" s="85">
        <v>11</v>
      </c>
      <c r="I352" s="76">
        <v>88</v>
      </c>
      <c r="J352" s="85">
        <v>233</v>
      </c>
      <c r="K352" s="84">
        <v>6328.28</v>
      </c>
      <c r="L352" s="86">
        <v>46289</v>
      </c>
      <c r="M352" s="85" t="str">
        <f t="shared" si="10"/>
        <v>Monitor</v>
      </c>
      <c r="N352" s="85" t="str">
        <f t="shared" si="11"/>
        <v>Low</v>
      </c>
    </row>
    <row r="353" spans="1:14" ht="16.5" x14ac:dyDescent="0.2">
      <c r="A353" s="126" t="s">
        <v>735</v>
      </c>
      <c r="B353" s="78" t="s">
        <v>736</v>
      </c>
      <c r="C353" s="78" t="s">
        <v>25</v>
      </c>
      <c r="D353" s="78" t="s">
        <v>40</v>
      </c>
      <c r="E353" s="78" t="s">
        <v>41</v>
      </c>
      <c r="F353" s="78" t="s">
        <v>27</v>
      </c>
      <c r="G353" s="79">
        <v>19.41</v>
      </c>
      <c r="H353" s="80">
        <v>38</v>
      </c>
      <c r="I353" s="81">
        <v>91.7</v>
      </c>
      <c r="J353" s="80">
        <v>203</v>
      </c>
      <c r="K353" s="79">
        <v>3940.23</v>
      </c>
      <c r="L353" s="82">
        <v>45920</v>
      </c>
      <c r="M353" s="80" t="str">
        <f t="shared" si="10"/>
        <v>Monitor</v>
      </c>
      <c r="N353" s="80" t="str">
        <f t="shared" si="11"/>
        <v>Low</v>
      </c>
    </row>
    <row r="354" spans="1:14" ht="16.5" x14ac:dyDescent="0.2">
      <c r="A354" s="72" t="s">
        <v>737</v>
      </c>
      <c r="B354" s="83" t="s">
        <v>738</v>
      </c>
      <c r="C354" s="83" t="s">
        <v>48</v>
      </c>
      <c r="D354" s="83" t="s">
        <v>40</v>
      </c>
      <c r="E354" s="83" t="s">
        <v>31</v>
      </c>
      <c r="F354" s="83" t="s">
        <v>1073</v>
      </c>
      <c r="G354" s="84">
        <v>102.84</v>
      </c>
      <c r="H354" s="85">
        <v>50</v>
      </c>
      <c r="I354" s="76">
        <v>98.4</v>
      </c>
      <c r="J354" s="85">
        <v>26</v>
      </c>
      <c r="K354" s="84">
        <v>2673.84</v>
      </c>
      <c r="L354" s="86">
        <v>45664</v>
      </c>
      <c r="M354" s="85" t="str">
        <f t="shared" si="10"/>
        <v>OK</v>
      </c>
      <c r="N354" s="85" t="str">
        <f t="shared" si="11"/>
        <v>Medium</v>
      </c>
    </row>
    <row r="355" spans="1:14" ht="16.5" x14ac:dyDescent="0.2">
      <c r="A355" s="126" t="s">
        <v>739</v>
      </c>
      <c r="B355" s="78" t="s">
        <v>740</v>
      </c>
      <c r="C355" s="78" t="s">
        <v>25</v>
      </c>
      <c r="D355" s="78" t="s">
        <v>17</v>
      </c>
      <c r="E355" s="78" t="s">
        <v>58</v>
      </c>
      <c r="F355" s="78" t="s">
        <v>27</v>
      </c>
      <c r="G355" s="79">
        <v>75.06</v>
      </c>
      <c r="H355" s="80">
        <v>10</v>
      </c>
      <c r="I355" s="81">
        <v>69.900000000000006</v>
      </c>
      <c r="J355" s="80">
        <v>49</v>
      </c>
      <c r="K355" s="79">
        <v>3677.94</v>
      </c>
      <c r="L355" s="82">
        <v>45779</v>
      </c>
      <c r="M355" s="80" t="str">
        <f t="shared" si="10"/>
        <v>At Risk</v>
      </c>
      <c r="N355" s="80" t="str">
        <f t="shared" si="11"/>
        <v>Medium</v>
      </c>
    </row>
    <row r="356" spans="1:14" ht="16.5" x14ac:dyDescent="0.2">
      <c r="A356" s="72" t="s">
        <v>741</v>
      </c>
      <c r="B356" s="83" t="s">
        <v>742</v>
      </c>
      <c r="C356" s="83" t="s">
        <v>48</v>
      </c>
      <c r="D356" s="83" t="s">
        <v>40</v>
      </c>
      <c r="E356" s="83" t="s">
        <v>58</v>
      </c>
      <c r="F356" s="83" t="s">
        <v>1073</v>
      </c>
      <c r="G356" s="84">
        <v>99.49</v>
      </c>
      <c r="H356" s="85">
        <v>43</v>
      </c>
      <c r="I356" s="76">
        <v>83.8</v>
      </c>
      <c r="J356" s="85">
        <v>463</v>
      </c>
      <c r="K356" s="84">
        <v>46063.87</v>
      </c>
      <c r="L356" s="86">
        <v>45979</v>
      </c>
      <c r="M356" s="85" t="str">
        <f t="shared" si="10"/>
        <v>At Risk</v>
      </c>
      <c r="N356" s="85" t="str">
        <f t="shared" si="11"/>
        <v>Medium</v>
      </c>
    </row>
    <row r="357" spans="1:14" ht="16.5" x14ac:dyDescent="0.2">
      <c r="A357" s="126" t="s">
        <v>743</v>
      </c>
      <c r="B357" s="78" t="s">
        <v>744</v>
      </c>
      <c r="C357" s="78" t="s">
        <v>30</v>
      </c>
      <c r="D357" s="78" t="s">
        <v>17</v>
      </c>
      <c r="E357" s="78" t="s">
        <v>58</v>
      </c>
      <c r="F357" s="78" t="s">
        <v>1072</v>
      </c>
      <c r="G357" s="79">
        <v>830.87</v>
      </c>
      <c r="H357" s="80">
        <v>51</v>
      </c>
      <c r="I357" s="81">
        <v>59.9</v>
      </c>
      <c r="J357" s="80">
        <v>10</v>
      </c>
      <c r="K357" s="79">
        <v>8308.7000000000007</v>
      </c>
      <c r="L357" s="82">
        <v>45390</v>
      </c>
      <c r="M357" s="80" t="str">
        <f t="shared" si="10"/>
        <v>At Risk</v>
      </c>
      <c r="N357" s="80" t="str">
        <f t="shared" si="11"/>
        <v>High</v>
      </c>
    </row>
    <row r="358" spans="1:14" ht="16.5" x14ac:dyDescent="0.2">
      <c r="A358" s="72" t="s">
        <v>745</v>
      </c>
      <c r="B358" s="83" t="s">
        <v>746</v>
      </c>
      <c r="C358" s="83" t="s">
        <v>39</v>
      </c>
      <c r="D358" s="83" t="s">
        <v>34</v>
      </c>
      <c r="E358" s="83" t="s">
        <v>31</v>
      </c>
      <c r="F358" s="83" t="s">
        <v>42</v>
      </c>
      <c r="G358" s="84">
        <v>2617.4899999999998</v>
      </c>
      <c r="H358" s="85">
        <v>25</v>
      </c>
      <c r="I358" s="76">
        <v>70.8</v>
      </c>
      <c r="J358" s="85">
        <v>202</v>
      </c>
      <c r="K358" s="84">
        <v>528732.98</v>
      </c>
      <c r="L358" s="86">
        <v>45499</v>
      </c>
      <c r="M358" s="85" t="str">
        <f t="shared" si="10"/>
        <v>At Risk</v>
      </c>
      <c r="N358" s="85" t="str">
        <f t="shared" si="11"/>
        <v>Premium</v>
      </c>
    </row>
    <row r="359" spans="1:14" ht="16.5" x14ac:dyDescent="0.2">
      <c r="A359" s="126" t="s">
        <v>747</v>
      </c>
      <c r="B359" s="78" t="s">
        <v>748</v>
      </c>
      <c r="C359" s="78" t="s">
        <v>48</v>
      </c>
      <c r="D359" s="78" t="s">
        <v>17</v>
      </c>
      <c r="E359" s="78" t="s">
        <v>58</v>
      </c>
      <c r="F359" s="78" t="s">
        <v>1073</v>
      </c>
      <c r="G359" s="79">
        <v>96.91</v>
      </c>
      <c r="H359" s="80">
        <v>3</v>
      </c>
      <c r="I359" s="81">
        <v>68.3</v>
      </c>
      <c r="J359" s="80">
        <v>173</v>
      </c>
      <c r="K359" s="79">
        <v>16765.43</v>
      </c>
      <c r="L359" s="82">
        <v>45826</v>
      </c>
      <c r="M359" s="80" t="str">
        <f t="shared" si="10"/>
        <v>At Risk</v>
      </c>
      <c r="N359" s="80" t="str">
        <f t="shared" si="11"/>
        <v>Medium</v>
      </c>
    </row>
    <row r="360" spans="1:14" ht="16.5" x14ac:dyDescent="0.2">
      <c r="A360" s="72" t="s">
        <v>749</v>
      </c>
      <c r="B360" s="83" t="s">
        <v>750</v>
      </c>
      <c r="C360" s="83" t="s">
        <v>30</v>
      </c>
      <c r="D360" s="83" t="s">
        <v>17</v>
      </c>
      <c r="E360" s="83" t="s">
        <v>31</v>
      </c>
      <c r="F360" s="83" t="s">
        <v>1072</v>
      </c>
      <c r="G360" s="84">
        <v>489.63</v>
      </c>
      <c r="H360" s="85">
        <v>5</v>
      </c>
      <c r="I360" s="76">
        <v>79.599999999999994</v>
      </c>
      <c r="J360" s="85">
        <v>469</v>
      </c>
      <c r="K360" s="84">
        <v>229636.47</v>
      </c>
      <c r="L360" s="86">
        <v>45482</v>
      </c>
      <c r="M360" s="85" t="str">
        <f t="shared" si="10"/>
        <v>At Risk</v>
      </c>
      <c r="N360" s="85" t="str">
        <f t="shared" si="11"/>
        <v>High</v>
      </c>
    </row>
    <row r="361" spans="1:14" ht="16.5" x14ac:dyDescent="0.2">
      <c r="A361" s="126" t="s">
        <v>751</v>
      </c>
      <c r="B361" s="78" t="s">
        <v>752</v>
      </c>
      <c r="C361" s="78" t="s">
        <v>25</v>
      </c>
      <c r="D361" s="78" t="s">
        <v>34</v>
      </c>
      <c r="E361" s="78" t="s">
        <v>26</v>
      </c>
      <c r="F361" s="78" t="s">
        <v>27</v>
      </c>
      <c r="G361" s="79">
        <v>35.64</v>
      </c>
      <c r="H361" s="80">
        <v>42</v>
      </c>
      <c r="I361" s="81">
        <v>62.4</v>
      </c>
      <c r="J361" s="80">
        <v>465</v>
      </c>
      <c r="K361" s="79">
        <v>16572.599999999999</v>
      </c>
      <c r="L361" s="82">
        <v>46181</v>
      </c>
      <c r="M361" s="80" t="str">
        <f t="shared" si="10"/>
        <v>At Risk</v>
      </c>
      <c r="N361" s="80" t="str">
        <f t="shared" si="11"/>
        <v>Low</v>
      </c>
    </row>
    <row r="362" spans="1:14" ht="16.5" x14ac:dyDescent="0.2">
      <c r="A362" s="72" t="s">
        <v>753</v>
      </c>
      <c r="B362" s="83" t="s">
        <v>754</v>
      </c>
      <c r="C362" s="83" t="s">
        <v>16</v>
      </c>
      <c r="D362" s="83" t="s">
        <v>40</v>
      </c>
      <c r="E362" s="83" t="s">
        <v>22</v>
      </c>
      <c r="F362" s="83" t="s">
        <v>19</v>
      </c>
      <c r="G362" s="84">
        <v>356.96</v>
      </c>
      <c r="H362" s="85">
        <v>36</v>
      </c>
      <c r="I362" s="76">
        <v>87.5</v>
      </c>
      <c r="J362" s="85">
        <v>383</v>
      </c>
      <c r="K362" s="84">
        <v>136715.68</v>
      </c>
      <c r="L362" s="86">
        <v>45835</v>
      </c>
      <c r="M362" s="85" t="str">
        <f t="shared" si="10"/>
        <v>Monitor</v>
      </c>
      <c r="N362" s="85" t="str">
        <f t="shared" si="11"/>
        <v>High</v>
      </c>
    </row>
    <row r="363" spans="1:14" ht="16.5" x14ac:dyDescent="0.2">
      <c r="A363" s="126" t="s">
        <v>755</v>
      </c>
      <c r="B363" s="78" t="s">
        <v>756</v>
      </c>
      <c r="C363" s="78" t="s">
        <v>48</v>
      </c>
      <c r="D363" s="78" t="s">
        <v>17</v>
      </c>
      <c r="E363" s="78" t="s">
        <v>31</v>
      </c>
      <c r="F363" s="78" t="s">
        <v>1073</v>
      </c>
      <c r="G363" s="79">
        <v>70.75</v>
      </c>
      <c r="H363" s="80">
        <v>54</v>
      </c>
      <c r="I363" s="81">
        <v>77.099999999999994</v>
      </c>
      <c r="J363" s="80">
        <v>37</v>
      </c>
      <c r="K363" s="79">
        <v>2617.75</v>
      </c>
      <c r="L363" s="82">
        <v>46030</v>
      </c>
      <c r="M363" s="80" t="str">
        <f t="shared" si="10"/>
        <v>At Risk</v>
      </c>
      <c r="N363" s="80" t="str">
        <f t="shared" si="11"/>
        <v>Medium</v>
      </c>
    </row>
    <row r="364" spans="1:14" ht="16.5" x14ac:dyDescent="0.2">
      <c r="A364" s="72" t="s">
        <v>757</v>
      </c>
      <c r="B364" s="83" t="s">
        <v>758</v>
      </c>
      <c r="C364" s="83" t="s">
        <v>16</v>
      </c>
      <c r="D364" s="83" t="s">
        <v>17</v>
      </c>
      <c r="E364" s="83" t="s">
        <v>51</v>
      </c>
      <c r="F364" s="83" t="s">
        <v>19</v>
      </c>
      <c r="G364" s="84">
        <v>199.76</v>
      </c>
      <c r="H364" s="85">
        <v>2</v>
      </c>
      <c r="I364" s="76">
        <v>64.3</v>
      </c>
      <c r="J364" s="85">
        <v>336</v>
      </c>
      <c r="K364" s="84">
        <v>67119.360000000001</v>
      </c>
      <c r="L364" s="86">
        <v>45889</v>
      </c>
      <c r="M364" s="85" t="str">
        <f t="shared" si="10"/>
        <v>At Risk</v>
      </c>
      <c r="N364" s="85" t="str">
        <f t="shared" si="11"/>
        <v>Medium</v>
      </c>
    </row>
    <row r="365" spans="1:14" ht="16.5" x14ac:dyDescent="0.2">
      <c r="A365" s="126" t="s">
        <v>759</v>
      </c>
      <c r="B365" s="78" t="s">
        <v>760</v>
      </c>
      <c r="C365" s="78" t="s">
        <v>16</v>
      </c>
      <c r="D365" s="78" t="s">
        <v>40</v>
      </c>
      <c r="E365" s="78" t="s">
        <v>31</v>
      </c>
      <c r="F365" s="78" t="s">
        <v>19</v>
      </c>
      <c r="G365" s="79">
        <v>403.21</v>
      </c>
      <c r="H365" s="80">
        <v>58</v>
      </c>
      <c r="I365" s="81">
        <v>84.7</v>
      </c>
      <c r="J365" s="80">
        <v>56</v>
      </c>
      <c r="K365" s="79">
        <v>22579.759999999998</v>
      </c>
      <c r="L365" s="82">
        <v>46085</v>
      </c>
      <c r="M365" s="80" t="str">
        <f t="shared" si="10"/>
        <v>At Risk</v>
      </c>
      <c r="N365" s="80" t="str">
        <f t="shared" si="11"/>
        <v>High</v>
      </c>
    </row>
    <row r="366" spans="1:14" ht="16.5" x14ac:dyDescent="0.2">
      <c r="A366" s="72" t="s">
        <v>761</v>
      </c>
      <c r="B366" s="83" t="s">
        <v>762</v>
      </c>
      <c r="C366" s="83" t="s">
        <v>39</v>
      </c>
      <c r="D366" s="83" t="s">
        <v>40</v>
      </c>
      <c r="E366" s="83" t="s">
        <v>51</v>
      </c>
      <c r="F366" s="83" t="s">
        <v>42</v>
      </c>
      <c r="G366" s="84">
        <v>509.7</v>
      </c>
      <c r="H366" s="85">
        <v>29</v>
      </c>
      <c r="I366" s="76">
        <v>75.900000000000006</v>
      </c>
      <c r="J366" s="85">
        <v>125</v>
      </c>
      <c r="K366" s="84">
        <v>63712.5</v>
      </c>
      <c r="L366" s="86">
        <v>45842</v>
      </c>
      <c r="M366" s="85" t="str">
        <f t="shared" si="10"/>
        <v>At Risk</v>
      </c>
      <c r="N366" s="85" t="str">
        <f t="shared" si="11"/>
        <v>High</v>
      </c>
    </row>
    <row r="367" spans="1:14" ht="16.5" x14ac:dyDescent="0.2">
      <c r="A367" s="126" t="s">
        <v>763</v>
      </c>
      <c r="B367" s="78" t="s">
        <v>764</v>
      </c>
      <c r="C367" s="78" t="s">
        <v>48</v>
      </c>
      <c r="D367" s="78" t="s">
        <v>34</v>
      </c>
      <c r="E367" s="78" t="s">
        <v>58</v>
      </c>
      <c r="F367" s="78" t="s">
        <v>1073</v>
      </c>
      <c r="G367" s="79">
        <v>14.86</v>
      </c>
      <c r="H367" s="80">
        <v>23</v>
      </c>
      <c r="I367" s="81">
        <v>91.4</v>
      </c>
      <c r="J367" s="80">
        <v>221</v>
      </c>
      <c r="K367" s="79">
        <v>3284.06</v>
      </c>
      <c r="L367" s="82">
        <v>45757</v>
      </c>
      <c r="M367" s="80" t="str">
        <f t="shared" si="10"/>
        <v>Monitor</v>
      </c>
      <c r="N367" s="80" t="str">
        <f t="shared" si="11"/>
        <v>Low</v>
      </c>
    </row>
    <row r="368" spans="1:14" ht="16.5" x14ac:dyDescent="0.2">
      <c r="A368" s="72" t="s">
        <v>765</v>
      </c>
      <c r="B368" s="83" t="s">
        <v>766</v>
      </c>
      <c r="C368" s="83" t="s">
        <v>39</v>
      </c>
      <c r="D368" s="83" t="s">
        <v>34</v>
      </c>
      <c r="E368" s="83" t="s">
        <v>31</v>
      </c>
      <c r="F368" s="83" t="s">
        <v>42</v>
      </c>
      <c r="G368" s="84">
        <v>4838.45</v>
      </c>
      <c r="H368" s="85">
        <v>44</v>
      </c>
      <c r="I368" s="76">
        <v>94</v>
      </c>
      <c r="J368" s="85">
        <v>253</v>
      </c>
      <c r="K368" s="84">
        <v>1224127.8500000001</v>
      </c>
      <c r="L368" s="86">
        <v>45774</v>
      </c>
      <c r="M368" s="85" t="str">
        <f t="shared" si="10"/>
        <v>OK</v>
      </c>
      <c r="N368" s="85" t="str">
        <f t="shared" si="11"/>
        <v>Premium</v>
      </c>
    </row>
    <row r="369" spans="1:14" ht="16.5" x14ac:dyDescent="0.2">
      <c r="A369" s="126" t="s">
        <v>767</v>
      </c>
      <c r="B369" s="78" t="s">
        <v>768</v>
      </c>
      <c r="C369" s="78" t="s">
        <v>16</v>
      </c>
      <c r="D369" s="78" t="s">
        <v>40</v>
      </c>
      <c r="E369" s="78" t="s">
        <v>26</v>
      </c>
      <c r="F369" s="78" t="s">
        <v>19</v>
      </c>
      <c r="G369" s="79">
        <v>426.58</v>
      </c>
      <c r="H369" s="80">
        <v>58</v>
      </c>
      <c r="I369" s="81">
        <v>78.3</v>
      </c>
      <c r="J369" s="80">
        <v>302</v>
      </c>
      <c r="K369" s="79">
        <v>128827.16</v>
      </c>
      <c r="L369" s="82">
        <v>45593</v>
      </c>
      <c r="M369" s="80" t="str">
        <f t="shared" si="10"/>
        <v>At Risk</v>
      </c>
      <c r="N369" s="80" t="str">
        <f t="shared" si="11"/>
        <v>High</v>
      </c>
    </row>
    <row r="370" spans="1:14" ht="16.5" x14ac:dyDescent="0.2">
      <c r="A370" s="72" t="s">
        <v>769</v>
      </c>
      <c r="B370" s="83" t="s">
        <v>770</v>
      </c>
      <c r="C370" s="83" t="s">
        <v>48</v>
      </c>
      <c r="D370" s="83" t="s">
        <v>34</v>
      </c>
      <c r="E370" s="83" t="s">
        <v>45</v>
      </c>
      <c r="F370" s="83" t="s">
        <v>1073</v>
      </c>
      <c r="G370" s="84">
        <v>116.8</v>
      </c>
      <c r="H370" s="85">
        <v>52</v>
      </c>
      <c r="I370" s="76">
        <v>63.7</v>
      </c>
      <c r="J370" s="85">
        <v>31</v>
      </c>
      <c r="K370" s="84">
        <v>3620.8</v>
      </c>
      <c r="L370" s="86">
        <v>46159</v>
      </c>
      <c r="M370" s="85" t="str">
        <f t="shared" si="10"/>
        <v>At Risk</v>
      </c>
      <c r="N370" s="85" t="str">
        <f t="shared" si="11"/>
        <v>Medium</v>
      </c>
    </row>
    <row r="371" spans="1:14" ht="16.5" x14ac:dyDescent="0.2">
      <c r="A371" s="126" t="s">
        <v>771</v>
      </c>
      <c r="B371" s="78" t="s">
        <v>772</v>
      </c>
      <c r="C371" s="78" t="s">
        <v>48</v>
      </c>
      <c r="D371" s="78" t="s">
        <v>34</v>
      </c>
      <c r="E371" s="78" t="s">
        <v>45</v>
      </c>
      <c r="F371" s="78" t="s">
        <v>1073</v>
      </c>
      <c r="G371" s="79">
        <v>100.92</v>
      </c>
      <c r="H371" s="80">
        <v>17</v>
      </c>
      <c r="I371" s="81">
        <v>69.400000000000006</v>
      </c>
      <c r="J371" s="80">
        <v>382</v>
      </c>
      <c r="K371" s="79">
        <v>38551.440000000002</v>
      </c>
      <c r="L371" s="82">
        <v>45429</v>
      </c>
      <c r="M371" s="80" t="str">
        <f t="shared" si="10"/>
        <v>At Risk</v>
      </c>
      <c r="N371" s="80" t="str">
        <f t="shared" si="11"/>
        <v>Medium</v>
      </c>
    </row>
    <row r="372" spans="1:14" ht="16.5" x14ac:dyDescent="0.2">
      <c r="A372" s="72" t="s">
        <v>773</v>
      </c>
      <c r="B372" s="83" t="s">
        <v>774</v>
      </c>
      <c r="C372" s="83" t="s">
        <v>25</v>
      </c>
      <c r="D372" s="83" t="s">
        <v>40</v>
      </c>
      <c r="E372" s="83" t="s">
        <v>41</v>
      </c>
      <c r="F372" s="83" t="s">
        <v>27</v>
      </c>
      <c r="G372" s="84">
        <v>68.819999999999993</v>
      </c>
      <c r="H372" s="85">
        <v>34</v>
      </c>
      <c r="I372" s="76">
        <v>75.599999999999994</v>
      </c>
      <c r="J372" s="85">
        <v>457</v>
      </c>
      <c r="K372" s="84">
        <v>31450.74</v>
      </c>
      <c r="L372" s="86">
        <v>45317</v>
      </c>
      <c r="M372" s="85" t="str">
        <f t="shared" si="10"/>
        <v>At Risk</v>
      </c>
      <c r="N372" s="85" t="str">
        <f t="shared" si="11"/>
        <v>Medium</v>
      </c>
    </row>
    <row r="373" spans="1:14" ht="16.5" x14ac:dyDescent="0.2">
      <c r="A373" s="126" t="s">
        <v>775</v>
      </c>
      <c r="B373" s="78" t="s">
        <v>776</v>
      </c>
      <c r="C373" s="78" t="s">
        <v>25</v>
      </c>
      <c r="D373" s="78" t="s">
        <v>34</v>
      </c>
      <c r="E373" s="78" t="s">
        <v>58</v>
      </c>
      <c r="F373" s="78" t="s">
        <v>27</v>
      </c>
      <c r="G373" s="79">
        <v>34.33</v>
      </c>
      <c r="H373" s="80">
        <v>10</v>
      </c>
      <c r="I373" s="81">
        <v>80.5</v>
      </c>
      <c r="J373" s="80">
        <v>308</v>
      </c>
      <c r="K373" s="79">
        <v>10573.64</v>
      </c>
      <c r="L373" s="82">
        <v>45497</v>
      </c>
      <c r="M373" s="80" t="str">
        <f t="shared" si="10"/>
        <v>At Risk</v>
      </c>
      <c r="N373" s="80" t="str">
        <f t="shared" si="11"/>
        <v>Low</v>
      </c>
    </row>
    <row r="374" spans="1:14" ht="16.5" x14ac:dyDescent="0.2">
      <c r="A374" s="72" t="s">
        <v>777</v>
      </c>
      <c r="B374" s="83" t="s">
        <v>778</v>
      </c>
      <c r="C374" s="83" t="s">
        <v>16</v>
      </c>
      <c r="D374" s="83" t="s">
        <v>34</v>
      </c>
      <c r="E374" s="83" t="s">
        <v>41</v>
      </c>
      <c r="F374" s="83" t="s">
        <v>19</v>
      </c>
      <c r="G374" s="84">
        <v>708.42</v>
      </c>
      <c r="H374" s="85">
        <v>17</v>
      </c>
      <c r="I374" s="76">
        <v>72.2</v>
      </c>
      <c r="J374" s="85">
        <v>258</v>
      </c>
      <c r="K374" s="84">
        <v>182772.36</v>
      </c>
      <c r="L374" s="86">
        <v>46260</v>
      </c>
      <c r="M374" s="85" t="str">
        <f t="shared" si="10"/>
        <v>At Risk</v>
      </c>
      <c r="N374" s="85" t="str">
        <f t="shared" si="11"/>
        <v>High</v>
      </c>
    </row>
    <row r="375" spans="1:14" ht="16.5" x14ac:dyDescent="0.2">
      <c r="A375" s="126" t="s">
        <v>779</v>
      </c>
      <c r="B375" s="78" t="s">
        <v>780</v>
      </c>
      <c r="C375" s="78" t="s">
        <v>30</v>
      </c>
      <c r="D375" s="78" t="s">
        <v>40</v>
      </c>
      <c r="E375" s="78" t="s">
        <v>31</v>
      </c>
      <c r="F375" s="78" t="s">
        <v>1072</v>
      </c>
      <c r="G375" s="79">
        <v>269.81</v>
      </c>
      <c r="H375" s="80">
        <v>57</v>
      </c>
      <c r="I375" s="81">
        <v>94.6</v>
      </c>
      <c r="J375" s="80">
        <v>363</v>
      </c>
      <c r="K375" s="79">
        <v>97941.03</v>
      </c>
      <c r="L375" s="82">
        <v>45778</v>
      </c>
      <c r="M375" s="80" t="str">
        <f t="shared" si="10"/>
        <v>OK</v>
      </c>
      <c r="N375" s="80" t="str">
        <f t="shared" si="11"/>
        <v>High</v>
      </c>
    </row>
    <row r="376" spans="1:14" ht="16.5" x14ac:dyDescent="0.2">
      <c r="A376" s="72" t="s">
        <v>781</v>
      </c>
      <c r="B376" s="83" t="s">
        <v>782</v>
      </c>
      <c r="C376" s="83" t="s">
        <v>30</v>
      </c>
      <c r="D376" s="83" t="s">
        <v>34</v>
      </c>
      <c r="E376" s="83" t="s">
        <v>26</v>
      </c>
      <c r="F376" s="83" t="s">
        <v>1072</v>
      </c>
      <c r="G376" s="84">
        <v>808.16</v>
      </c>
      <c r="H376" s="85">
        <v>51</v>
      </c>
      <c r="I376" s="76">
        <v>68.599999999999994</v>
      </c>
      <c r="J376" s="85">
        <v>153</v>
      </c>
      <c r="K376" s="84">
        <v>123648.48</v>
      </c>
      <c r="L376" s="86">
        <v>46298</v>
      </c>
      <c r="M376" s="85" t="str">
        <f t="shared" si="10"/>
        <v>At Risk</v>
      </c>
      <c r="N376" s="85" t="str">
        <f t="shared" si="11"/>
        <v>High</v>
      </c>
    </row>
    <row r="377" spans="1:14" ht="16.5" x14ac:dyDescent="0.2">
      <c r="A377" s="126" t="s">
        <v>783</v>
      </c>
      <c r="B377" s="78" t="s">
        <v>784</v>
      </c>
      <c r="C377" s="78" t="s">
        <v>48</v>
      </c>
      <c r="D377" s="78" t="s">
        <v>40</v>
      </c>
      <c r="E377" s="78" t="s">
        <v>51</v>
      </c>
      <c r="F377" s="78" t="s">
        <v>1073</v>
      </c>
      <c r="G377" s="79">
        <v>94.01</v>
      </c>
      <c r="H377" s="80">
        <v>21</v>
      </c>
      <c r="I377" s="81">
        <v>67.099999999999994</v>
      </c>
      <c r="J377" s="80">
        <v>223</v>
      </c>
      <c r="K377" s="79">
        <v>20964.23</v>
      </c>
      <c r="L377" s="82">
        <v>45474</v>
      </c>
      <c r="M377" s="80" t="str">
        <f t="shared" si="10"/>
        <v>At Risk</v>
      </c>
      <c r="N377" s="80" t="str">
        <f t="shared" si="11"/>
        <v>Medium</v>
      </c>
    </row>
    <row r="378" spans="1:14" ht="16.5" x14ac:dyDescent="0.2">
      <c r="A378" s="72" t="s">
        <v>785</v>
      </c>
      <c r="B378" s="83" t="s">
        <v>786</v>
      </c>
      <c r="C378" s="83" t="s">
        <v>48</v>
      </c>
      <c r="D378" s="83" t="s">
        <v>34</v>
      </c>
      <c r="E378" s="83" t="s">
        <v>31</v>
      </c>
      <c r="F378" s="83" t="s">
        <v>1073</v>
      </c>
      <c r="G378" s="84">
        <v>90.21</v>
      </c>
      <c r="H378" s="85">
        <v>49</v>
      </c>
      <c r="I378" s="76">
        <v>78.2</v>
      </c>
      <c r="J378" s="85">
        <v>201</v>
      </c>
      <c r="K378" s="84">
        <v>18132.21</v>
      </c>
      <c r="L378" s="86">
        <v>45407</v>
      </c>
      <c r="M378" s="85" t="str">
        <f t="shared" si="10"/>
        <v>At Risk</v>
      </c>
      <c r="N378" s="85" t="str">
        <f t="shared" si="11"/>
        <v>Medium</v>
      </c>
    </row>
    <row r="379" spans="1:14" ht="16.5" x14ac:dyDescent="0.2">
      <c r="A379" s="126" t="s">
        <v>787</v>
      </c>
      <c r="B379" s="78" t="s">
        <v>788</v>
      </c>
      <c r="C379" s="78" t="s">
        <v>16</v>
      </c>
      <c r="D379" s="78" t="s">
        <v>40</v>
      </c>
      <c r="E379" s="78" t="s">
        <v>31</v>
      </c>
      <c r="F379" s="78" t="s">
        <v>19</v>
      </c>
      <c r="G379" s="79">
        <v>151.74</v>
      </c>
      <c r="H379" s="80">
        <v>55</v>
      </c>
      <c r="I379" s="81">
        <v>78.599999999999994</v>
      </c>
      <c r="J379" s="80">
        <v>301</v>
      </c>
      <c r="K379" s="79">
        <v>45673.74</v>
      </c>
      <c r="L379" s="82">
        <v>45351</v>
      </c>
      <c r="M379" s="80" t="str">
        <f t="shared" si="10"/>
        <v>At Risk</v>
      </c>
      <c r="N379" s="80" t="str">
        <f t="shared" si="11"/>
        <v>Medium</v>
      </c>
    </row>
    <row r="380" spans="1:14" ht="16.5" x14ac:dyDescent="0.2">
      <c r="A380" s="72" t="s">
        <v>789</v>
      </c>
      <c r="B380" s="83" t="s">
        <v>790</v>
      </c>
      <c r="C380" s="83" t="s">
        <v>48</v>
      </c>
      <c r="D380" s="83" t="s">
        <v>34</v>
      </c>
      <c r="E380" s="83" t="s">
        <v>22</v>
      </c>
      <c r="F380" s="83" t="s">
        <v>1073</v>
      </c>
      <c r="G380" s="84">
        <v>8.8000000000000007</v>
      </c>
      <c r="H380" s="85">
        <v>4</v>
      </c>
      <c r="I380" s="76">
        <v>96.3</v>
      </c>
      <c r="J380" s="85">
        <v>370</v>
      </c>
      <c r="K380" s="84">
        <v>3256</v>
      </c>
      <c r="L380" s="86">
        <v>45699</v>
      </c>
      <c r="M380" s="85" t="str">
        <f t="shared" si="10"/>
        <v>OK</v>
      </c>
      <c r="N380" s="85" t="str">
        <f t="shared" si="11"/>
        <v>Low</v>
      </c>
    </row>
    <row r="381" spans="1:14" ht="16.5" x14ac:dyDescent="0.2">
      <c r="A381" s="126" t="s">
        <v>791</v>
      </c>
      <c r="B381" s="78" t="s">
        <v>792</v>
      </c>
      <c r="C381" s="78" t="s">
        <v>39</v>
      </c>
      <c r="D381" s="78" t="s">
        <v>40</v>
      </c>
      <c r="E381" s="78" t="s">
        <v>58</v>
      </c>
      <c r="F381" s="78" t="s">
        <v>42</v>
      </c>
      <c r="G381" s="79">
        <v>3501.52</v>
      </c>
      <c r="H381" s="80">
        <v>16</v>
      </c>
      <c r="I381" s="81">
        <v>71.8</v>
      </c>
      <c r="J381" s="80">
        <v>314</v>
      </c>
      <c r="K381" s="79">
        <v>1099477.28</v>
      </c>
      <c r="L381" s="82">
        <v>46205</v>
      </c>
      <c r="M381" s="80" t="str">
        <f t="shared" si="10"/>
        <v>At Risk</v>
      </c>
      <c r="N381" s="80" t="str">
        <f t="shared" si="11"/>
        <v>Premium</v>
      </c>
    </row>
    <row r="382" spans="1:14" ht="16.5" x14ac:dyDescent="0.2">
      <c r="A382" s="72" t="s">
        <v>793</v>
      </c>
      <c r="B382" s="83" t="s">
        <v>794</v>
      </c>
      <c r="C382" s="83" t="s">
        <v>25</v>
      </c>
      <c r="D382" s="83" t="s">
        <v>40</v>
      </c>
      <c r="E382" s="83" t="s">
        <v>41</v>
      </c>
      <c r="F382" s="83" t="s">
        <v>27</v>
      </c>
      <c r="G382" s="84">
        <v>14.75</v>
      </c>
      <c r="H382" s="85">
        <v>58</v>
      </c>
      <c r="I382" s="76">
        <v>66.599999999999994</v>
      </c>
      <c r="J382" s="85">
        <v>435</v>
      </c>
      <c r="K382" s="84">
        <v>6416.25</v>
      </c>
      <c r="L382" s="86">
        <v>45477</v>
      </c>
      <c r="M382" s="85" t="str">
        <f t="shared" si="10"/>
        <v>At Risk</v>
      </c>
      <c r="N382" s="85" t="str">
        <f t="shared" si="11"/>
        <v>Low</v>
      </c>
    </row>
    <row r="383" spans="1:14" ht="16.5" x14ac:dyDescent="0.2">
      <c r="A383" s="126" t="s">
        <v>795</v>
      </c>
      <c r="B383" s="78" t="s">
        <v>796</v>
      </c>
      <c r="C383" s="78" t="s">
        <v>39</v>
      </c>
      <c r="D383" s="78" t="s">
        <v>17</v>
      </c>
      <c r="E383" s="78" t="s">
        <v>22</v>
      </c>
      <c r="F383" s="78" t="s">
        <v>42</v>
      </c>
      <c r="G383" s="79">
        <v>4328.42</v>
      </c>
      <c r="H383" s="80">
        <v>42</v>
      </c>
      <c r="I383" s="81">
        <v>65.099999999999994</v>
      </c>
      <c r="J383" s="80">
        <v>115</v>
      </c>
      <c r="K383" s="79">
        <v>497768.3</v>
      </c>
      <c r="L383" s="82">
        <v>45843</v>
      </c>
      <c r="M383" s="80" t="str">
        <f t="shared" si="10"/>
        <v>At Risk</v>
      </c>
      <c r="N383" s="80" t="str">
        <f t="shared" si="11"/>
        <v>Premium</v>
      </c>
    </row>
    <row r="384" spans="1:14" ht="16.5" x14ac:dyDescent="0.2">
      <c r="A384" s="72" t="s">
        <v>797</v>
      </c>
      <c r="B384" s="83" t="s">
        <v>798</v>
      </c>
      <c r="C384" s="83" t="s">
        <v>16</v>
      </c>
      <c r="D384" s="83" t="s">
        <v>34</v>
      </c>
      <c r="E384" s="83" t="s">
        <v>26</v>
      </c>
      <c r="F384" s="83" t="s">
        <v>19</v>
      </c>
      <c r="G384" s="84">
        <v>405.57</v>
      </c>
      <c r="H384" s="85">
        <v>9</v>
      </c>
      <c r="I384" s="76">
        <v>84.1</v>
      </c>
      <c r="J384" s="85">
        <v>317</v>
      </c>
      <c r="K384" s="84">
        <v>128565.69</v>
      </c>
      <c r="L384" s="86">
        <v>45309</v>
      </c>
      <c r="M384" s="85" t="str">
        <f t="shared" si="10"/>
        <v>At Risk</v>
      </c>
      <c r="N384" s="85" t="str">
        <f t="shared" si="11"/>
        <v>High</v>
      </c>
    </row>
    <row r="385" spans="1:14" ht="16.5" x14ac:dyDescent="0.2">
      <c r="A385" s="126" t="s">
        <v>799</v>
      </c>
      <c r="B385" s="78" t="s">
        <v>800</v>
      </c>
      <c r="C385" s="78" t="s">
        <v>25</v>
      </c>
      <c r="D385" s="78" t="s">
        <v>34</v>
      </c>
      <c r="E385" s="78" t="s">
        <v>18</v>
      </c>
      <c r="F385" s="78" t="s">
        <v>27</v>
      </c>
      <c r="G385" s="79">
        <v>57.59</v>
      </c>
      <c r="H385" s="80">
        <v>46</v>
      </c>
      <c r="I385" s="81">
        <v>83.9</v>
      </c>
      <c r="J385" s="80">
        <v>226</v>
      </c>
      <c r="K385" s="79">
        <v>13015.34</v>
      </c>
      <c r="L385" s="82">
        <v>46063</v>
      </c>
      <c r="M385" s="80" t="str">
        <f t="shared" si="10"/>
        <v>At Risk</v>
      </c>
      <c r="N385" s="80" t="str">
        <f t="shared" si="11"/>
        <v>Medium</v>
      </c>
    </row>
    <row r="386" spans="1:14" ht="16.5" x14ac:dyDescent="0.2">
      <c r="A386" s="72" t="s">
        <v>801</v>
      </c>
      <c r="B386" s="83" t="s">
        <v>802</v>
      </c>
      <c r="C386" s="83" t="s">
        <v>30</v>
      </c>
      <c r="D386" s="83" t="s">
        <v>17</v>
      </c>
      <c r="E386" s="83" t="s">
        <v>18</v>
      </c>
      <c r="F386" s="83" t="s">
        <v>1072</v>
      </c>
      <c r="G386" s="84">
        <v>1418.95</v>
      </c>
      <c r="H386" s="85">
        <v>53</v>
      </c>
      <c r="I386" s="76">
        <v>83.1</v>
      </c>
      <c r="J386" s="85">
        <v>309</v>
      </c>
      <c r="K386" s="84">
        <v>438455.55</v>
      </c>
      <c r="L386" s="86">
        <v>45501</v>
      </c>
      <c r="M386" s="85" t="str">
        <f t="shared" ref="M386:M449" si="12">IF(I386&lt;85,"At Risk",IF(I386&lt;92,"Monitor","OK"))</f>
        <v>At Risk</v>
      </c>
      <c r="N386" s="85" t="str">
        <f t="shared" ref="N386:N449" si="13">IF(G386&lt;50,"Low",IF(G386&lt;250,"Medium",IF(G386&lt;1000,"High","Premium")))</f>
        <v>Premium</v>
      </c>
    </row>
    <row r="387" spans="1:14" ht="16.5" x14ac:dyDescent="0.2">
      <c r="A387" s="126" t="s">
        <v>803</v>
      </c>
      <c r="B387" s="78" t="s">
        <v>804</v>
      </c>
      <c r="C387" s="78" t="s">
        <v>30</v>
      </c>
      <c r="D387" s="78" t="s">
        <v>40</v>
      </c>
      <c r="E387" s="78" t="s">
        <v>18</v>
      </c>
      <c r="F387" s="78" t="s">
        <v>1072</v>
      </c>
      <c r="G387" s="79">
        <v>737.26</v>
      </c>
      <c r="H387" s="80">
        <v>7</v>
      </c>
      <c r="I387" s="81">
        <v>76.7</v>
      </c>
      <c r="J387" s="80">
        <v>182</v>
      </c>
      <c r="K387" s="79">
        <v>134181.32</v>
      </c>
      <c r="L387" s="82">
        <v>45858</v>
      </c>
      <c r="M387" s="80" t="str">
        <f t="shared" si="12"/>
        <v>At Risk</v>
      </c>
      <c r="N387" s="80" t="str">
        <f t="shared" si="13"/>
        <v>High</v>
      </c>
    </row>
    <row r="388" spans="1:14" ht="16.5" x14ac:dyDescent="0.2">
      <c r="A388" s="72" t="s">
        <v>805</v>
      </c>
      <c r="B388" s="83" t="s">
        <v>806</v>
      </c>
      <c r="C388" s="83" t="s">
        <v>30</v>
      </c>
      <c r="D388" s="83" t="s">
        <v>40</v>
      </c>
      <c r="E388" s="83" t="s">
        <v>18</v>
      </c>
      <c r="F388" s="83" t="s">
        <v>1072</v>
      </c>
      <c r="G388" s="84">
        <v>539.04999999999995</v>
      </c>
      <c r="H388" s="85">
        <v>34</v>
      </c>
      <c r="I388" s="76">
        <v>89.4</v>
      </c>
      <c r="J388" s="85">
        <v>470</v>
      </c>
      <c r="K388" s="84">
        <v>253353.5</v>
      </c>
      <c r="L388" s="86">
        <v>45408</v>
      </c>
      <c r="M388" s="85" t="str">
        <f t="shared" si="12"/>
        <v>Monitor</v>
      </c>
      <c r="N388" s="85" t="str">
        <f t="shared" si="13"/>
        <v>High</v>
      </c>
    </row>
    <row r="389" spans="1:14" ht="16.5" x14ac:dyDescent="0.2">
      <c r="A389" s="126" t="s">
        <v>807</v>
      </c>
      <c r="B389" s="78" t="s">
        <v>808</v>
      </c>
      <c r="C389" s="78" t="s">
        <v>30</v>
      </c>
      <c r="D389" s="78" t="s">
        <v>40</v>
      </c>
      <c r="E389" s="78" t="s">
        <v>26</v>
      </c>
      <c r="F389" s="78" t="s">
        <v>1072</v>
      </c>
      <c r="G389" s="79">
        <v>1379.72</v>
      </c>
      <c r="H389" s="80">
        <v>19</v>
      </c>
      <c r="I389" s="81">
        <v>66.7</v>
      </c>
      <c r="J389" s="80">
        <v>224</v>
      </c>
      <c r="K389" s="79">
        <v>309057.28000000003</v>
      </c>
      <c r="L389" s="82">
        <v>46120</v>
      </c>
      <c r="M389" s="80" t="str">
        <f t="shared" si="12"/>
        <v>At Risk</v>
      </c>
      <c r="N389" s="80" t="str">
        <f t="shared" si="13"/>
        <v>Premium</v>
      </c>
    </row>
    <row r="390" spans="1:14" ht="16.5" x14ac:dyDescent="0.2">
      <c r="A390" s="72" t="s">
        <v>809</v>
      </c>
      <c r="B390" s="83" t="s">
        <v>810</v>
      </c>
      <c r="C390" s="83" t="s">
        <v>25</v>
      </c>
      <c r="D390" s="83" t="s">
        <v>40</v>
      </c>
      <c r="E390" s="83" t="s">
        <v>22</v>
      </c>
      <c r="F390" s="83" t="s">
        <v>27</v>
      </c>
      <c r="G390" s="84">
        <v>28.77</v>
      </c>
      <c r="H390" s="85">
        <v>46</v>
      </c>
      <c r="I390" s="76">
        <v>65</v>
      </c>
      <c r="J390" s="85">
        <v>283</v>
      </c>
      <c r="K390" s="84">
        <v>8141.91</v>
      </c>
      <c r="L390" s="86">
        <v>46266</v>
      </c>
      <c r="M390" s="85" t="str">
        <f t="shared" si="12"/>
        <v>At Risk</v>
      </c>
      <c r="N390" s="85" t="str">
        <f t="shared" si="13"/>
        <v>Low</v>
      </c>
    </row>
    <row r="391" spans="1:14" ht="16.5" x14ac:dyDescent="0.2">
      <c r="A391" s="126" t="s">
        <v>811</v>
      </c>
      <c r="B391" s="78" t="s">
        <v>812</v>
      </c>
      <c r="C391" s="78" t="s">
        <v>30</v>
      </c>
      <c r="D391" s="78" t="s">
        <v>34</v>
      </c>
      <c r="E391" s="78" t="s">
        <v>45</v>
      </c>
      <c r="F391" s="78" t="s">
        <v>1072</v>
      </c>
      <c r="G391" s="79">
        <v>728.81</v>
      </c>
      <c r="H391" s="80">
        <v>31</v>
      </c>
      <c r="I391" s="81">
        <v>60.8</v>
      </c>
      <c r="J391" s="80">
        <v>142</v>
      </c>
      <c r="K391" s="79">
        <v>103491.02</v>
      </c>
      <c r="L391" s="82">
        <v>45666</v>
      </c>
      <c r="M391" s="80" t="str">
        <f t="shared" si="12"/>
        <v>At Risk</v>
      </c>
      <c r="N391" s="80" t="str">
        <f t="shared" si="13"/>
        <v>High</v>
      </c>
    </row>
    <row r="392" spans="1:14" ht="16.5" x14ac:dyDescent="0.2">
      <c r="A392" s="72" t="s">
        <v>813</v>
      </c>
      <c r="B392" s="83" t="s">
        <v>814</v>
      </c>
      <c r="C392" s="83" t="s">
        <v>48</v>
      </c>
      <c r="D392" s="83" t="s">
        <v>40</v>
      </c>
      <c r="E392" s="83" t="s">
        <v>18</v>
      </c>
      <c r="F392" s="83" t="s">
        <v>1073</v>
      </c>
      <c r="G392" s="84">
        <v>53.35</v>
      </c>
      <c r="H392" s="85">
        <v>57</v>
      </c>
      <c r="I392" s="76">
        <v>69.900000000000006</v>
      </c>
      <c r="J392" s="85">
        <v>143</v>
      </c>
      <c r="K392" s="84">
        <v>7629.05</v>
      </c>
      <c r="L392" s="86">
        <v>45894</v>
      </c>
      <c r="M392" s="85" t="str">
        <f t="shared" si="12"/>
        <v>At Risk</v>
      </c>
      <c r="N392" s="85" t="str">
        <f t="shared" si="13"/>
        <v>Medium</v>
      </c>
    </row>
    <row r="393" spans="1:14" ht="16.5" x14ac:dyDescent="0.2">
      <c r="A393" s="126" t="s">
        <v>815</v>
      </c>
      <c r="B393" s="78" t="s">
        <v>816</v>
      </c>
      <c r="C393" s="78" t="s">
        <v>39</v>
      </c>
      <c r="D393" s="78" t="s">
        <v>17</v>
      </c>
      <c r="E393" s="78" t="s">
        <v>58</v>
      </c>
      <c r="F393" s="78" t="s">
        <v>42</v>
      </c>
      <c r="G393" s="79">
        <v>2519.4299999999998</v>
      </c>
      <c r="H393" s="80">
        <v>13</v>
      </c>
      <c r="I393" s="81">
        <v>77.5</v>
      </c>
      <c r="J393" s="80">
        <v>454</v>
      </c>
      <c r="K393" s="79">
        <v>1143821.22</v>
      </c>
      <c r="L393" s="82">
        <v>46073</v>
      </c>
      <c r="M393" s="80" t="str">
        <f t="shared" si="12"/>
        <v>At Risk</v>
      </c>
      <c r="N393" s="80" t="str">
        <f t="shared" si="13"/>
        <v>Premium</v>
      </c>
    </row>
    <row r="394" spans="1:14" ht="16.5" x14ac:dyDescent="0.2">
      <c r="A394" s="72" t="s">
        <v>817</v>
      </c>
      <c r="B394" s="83" t="s">
        <v>818</v>
      </c>
      <c r="C394" s="83" t="s">
        <v>39</v>
      </c>
      <c r="D394" s="83" t="s">
        <v>17</v>
      </c>
      <c r="E394" s="83" t="s">
        <v>45</v>
      </c>
      <c r="F394" s="83" t="s">
        <v>42</v>
      </c>
      <c r="G394" s="84">
        <v>945.62</v>
      </c>
      <c r="H394" s="85">
        <v>13</v>
      </c>
      <c r="I394" s="76">
        <v>70.400000000000006</v>
      </c>
      <c r="J394" s="85">
        <v>301</v>
      </c>
      <c r="K394" s="84">
        <v>284631.62</v>
      </c>
      <c r="L394" s="86">
        <v>46229</v>
      </c>
      <c r="M394" s="85" t="str">
        <f t="shared" si="12"/>
        <v>At Risk</v>
      </c>
      <c r="N394" s="85" t="str">
        <f t="shared" si="13"/>
        <v>High</v>
      </c>
    </row>
    <row r="395" spans="1:14" ht="16.5" x14ac:dyDescent="0.2">
      <c r="A395" s="126" t="s">
        <v>819</v>
      </c>
      <c r="B395" s="78" t="s">
        <v>820</v>
      </c>
      <c r="C395" s="78" t="s">
        <v>48</v>
      </c>
      <c r="D395" s="78" t="s">
        <v>34</v>
      </c>
      <c r="E395" s="78" t="s">
        <v>51</v>
      </c>
      <c r="F395" s="78" t="s">
        <v>1073</v>
      </c>
      <c r="G395" s="79">
        <v>43.25</v>
      </c>
      <c r="H395" s="80">
        <v>12</v>
      </c>
      <c r="I395" s="81">
        <v>69.099999999999994</v>
      </c>
      <c r="J395" s="80">
        <v>39</v>
      </c>
      <c r="K395" s="79">
        <v>1686.75</v>
      </c>
      <c r="L395" s="82">
        <v>45301</v>
      </c>
      <c r="M395" s="80" t="str">
        <f t="shared" si="12"/>
        <v>At Risk</v>
      </c>
      <c r="N395" s="80" t="str">
        <f t="shared" si="13"/>
        <v>Low</v>
      </c>
    </row>
    <row r="396" spans="1:14" ht="16.5" x14ac:dyDescent="0.2">
      <c r="A396" s="72" t="s">
        <v>821</v>
      </c>
      <c r="B396" s="83" t="s">
        <v>822</v>
      </c>
      <c r="C396" s="83" t="s">
        <v>48</v>
      </c>
      <c r="D396" s="83" t="s">
        <v>34</v>
      </c>
      <c r="E396" s="83" t="s">
        <v>45</v>
      </c>
      <c r="F396" s="83" t="s">
        <v>1073</v>
      </c>
      <c r="G396" s="84">
        <v>71.27</v>
      </c>
      <c r="H396" s="85">
        <v>11</v>
      </c>
      <c r="I396" s="76">
        <v>77</v>
      </c>
      <c r="J396" s="85">
        <v>400</v>
      </c>
      <c r="K396" s="84">
        <v>28508</v>
      </c>
      <c r="L396" s="86">
        <v>45472</v>
      </c>
      <c r="M396" s="85" t="str">
        <f t="shared" si="12"/>
        <v>At Risk</v>
      </c>
      <c r="N396" s="85" t="str">
        <f t="shared" si="13"/>
        <v>Medium</v>
      </c>
    </row>
    <row r="397" spans="1:14" ht="16.5" x14ac:dyDescent="0.2">
      <c r="A397" s="126" t="s">
        <v>823</v>
      </c>
      <c r="B397" s="78" t="s">
        <v>824</v>
      </c>
      <c r="C397" s="78" t="s">
        <v>39</v>
      </c>
      <c r="D397" s="78" t="s">
        <v>40</v>
      </c>
      <c r="E397" s="78" t="s">
        <v>31</v>
      </c>
      <c r="F397" s="78" t="s">
        <v>42</v>
      </c>
      <c r="G397" s="79">
        <v>2316.42</v>
      </c>
      <c r="H397" s="80">
        <v>31</v>
      </c>
      <c r="I397" s="81">
        <v>72.2</v>
      </c>
      <c r="J397" s="80">
        <v>29</v>
      </c>
      <c r="K397" s="79">
        <v>67176.179999999993</v>
      </c>
      <c r="L397" s="82">
        <v>46385</v>
      </c>
      <c r="M397" s="80" t="str">
        <f t="shared" si="12"/>
        <v>At Risk</v>
      </c>
      <c r="N397" s="80" t="str">
        <f t="shared" si="13"/>
        <v>Premium</v>
      </c>
    </row>
    <row r="398" spans="1:14" ht="16.5" x14ac:dyDescent="0.2">
      <c r="A398" s="72" t="s">
        <v>825</v>
      </c>
      <c r="B398" s="83" t="s">
        <v>826</v>
      </c>
      <c r="C398" s="83" t="s">
        <v>16</v>
      </c>
      <c r="D398" s="83" t="s">
        <v>34</v>
      </c>
      <c r="E398" s="83" t="s">
        <v>22</v>
      </c>
      <c r="F398" s="83" t="s">
        <v>19</v>
      </c>
      <c r="G398" s="84">
        <v>63.44</v>
      </c>
      <c r="H398" s="85">
        <v>1</v>
      </c>
      <c r="I398" s="76">
        <v>83.2</v>
      </c>
      <c r="J398" s="85">
        <v>137</v>
      </c>
      <c r="K398" s="84">
        <v>8691.2800000000007</v>
      </c>
      <c r="L398" s="86">
        <v>45755</v>
      </c>
      <c r="M398" s="85" t="str">
        <f t="shared" si="12"/>
        <v>At Risk</v>
      </c>
      <c r="N398" s="85" t="str">
        <f t="shared" si="13"/>
        <v>Medium</v>
      </c>
    </row>
    <row r="399" spans="1:14" ht="16.5" x14ac:dyDescent="0.2">
      <c r="A399" s="126" t="s">
        <v>827</v>
      </c>
      <c r="B399" s="78" t="s">
        <v>828</v>
      </c>
      <c r="C399" s="78" t="s">
        <v>48</v>
      </c>
      <c r="D399" s="78" t="s">
        <v>17</v>
      </c>
      <c r="E399" s="78" t="s">
        <v>18</v>
      </c>
      <c r="F399" s="78" t="s">
        <v>1073</v>
      </c>
      <c r="G399" s="79">
        <v>24.21</v>
      </c>
      <c r="H399" s="80">
        <v>53</v>
      </c>
      <c r="I399" s="81">
        <v>57.1</v>
      </c>
      <c r="J399" s="80">
        <v>495</v>
      </c>
      <c r="K399" s="79">
        <v>11983.95</v>
      </c>
      <c r="L399" s="82">
        <v>45887</v>
      </c>
      <c r="M399" s="80" t="str">
        <f t="shared" si="12"/>
        <v>At Risk</v>
      </c>
      <c r="N399" s="80" t="str">
        <f t="shared" si="13"/>
        <v>Low</v>
      </c>
    </row>
    <row r="400" spans="1:14" ht="16.5" x14ac:dyDescent="0.2">
      <c r="A400" s="72" t="s">
        <v>829</v>
      </c>
      <c r="B400" s="83" t="s">
        <v>830</v>
      </c>
      <c r="C400" s="83" t="s">
        <v>25</v>
      </c>
      <c r="D400" s="83" t="s">
        <v>40</v>
      </c>
      <c r="E400" s="83" t="s">
        <v>31</v>
      </c>
      <c r="F400" s="83" t="s">
        <v>27</v>
      </c>
      <c r="G400" s="84">
        <v>71.260000000000005</v>
      </c>
      <c r="H400" s="85">
        <v>9</v>
      </c>
      <c r="I400" s="76">
        <v>70.400000000000006</v>
      </c>
      <c r="J400" s="85">
        <v>471</v>
      </c>
      <c r="K400" s="84">
        <v>33563.46</v>
      </c>
      <c r="L400" s="86">
        <v>46295</v>
      </c>
      <c r="M400" s="85" t="str">
        <f t="shared" si="12"/>
        <v>At Risk</v>
      </c>
      <c r="N400" s="85" t="str">
        <f t="shared" si="13"/>
        <v>Medium</v>
      </c>
    </row>
    <row r="401" spans="1:14" ht="16.5" x14ac:dyDescent="0.2">
      <c r="A401" s="126" t="s">
        <v>831</v>
      </c>
      <c r="B401" s="78" t="s">
        <v>832</v>
      </c>
      <c r="C401" s="78" t="s">
        <v>48</v>
      </c>
      <c r="D401" s="78" t="s">
        <v>34</v>
      </c>
      <c r="E401" s="78" t="s">
        <v>31</v>
      </c>
      <c r="F401" s="78" t="s">
        <v>1073</v>
      </c>
      <c r="G401" s="79">
        <v>7.2</v>
      </c>
      <c r="H401" s="80">
        <v>15</v>
      </c>
      <c r="I401" s="81">
        <v>87.7</v>
      </c>
      <c r="J401" s="80">
        <v>77</v>
      </c>
      <c r="K401" s="79">
        <v>554.4</v>
      </c>
      <c r="L401" s="82">
        <v>45724</v>
      </c>
      <c r="M401" s="80" t="str">
        <f t="shared" si="12"/>
        <v>Monitor</v>
      </c>
      <c r="N401" s="80" t="str">
        <f t="shared" si="13"/>
        <v>Low</v>
      </c>
    </row>
    <row r="402" spans="1:14" ht="16.5" x14ac:dyDescent="0.2">
      <c r="A402" s="72" t="s">
        <v>833</v>
      </c>
      <c r="B402" s="83" t="s">
        <v>834</v>
      </c>
      <c r="C402" s="83" t="s">
        <v>25</v>
      </c>
      <c r="D402" s="83" t="s">
        <v>17</v>
      </c>
      <c r="E402" s="83" t="s">
        <v>41</v>
      </c>
      <c r="F402" s="83" t="s">
        <v>27</v>
      </c>
      <c r="G402" s="84">
        <v>57.47</v>
      </c>
      <c r="H402" s="85">
        <v>51</v>
      </c>
      <c r="I402" s="76">
        <v>56.7</v>
      </c>
      <c r="J402" s="85">
        <v>458</v>
      </c>
      <c r="K402" s="84">
        <v>26321.26</v>
      </c>
      <c r="L402" s="86">
        <v>45815</v>
      </c>
      <c r="M402" s="85" t="str">
        <f t="shared" si="12"/>
        <v>At Risk</v>
      </c>
      <c r="N402" s="85" t="str">
        <f t="shared" si="13"/>
        <v>Medium</v>
      </c>
    </row>
    <row r="403" spans="1:14" ht="16.5" x14ac:dyDescent="0.2">
      <c r="A403" s="126" t="s">
        <v>835</v>
      </c>
      <c r="B403" s="78" t="s">
        <v>836</v>
      </c>
      <c r="C403" s="78" t="s">
        <v>16</v>
      </c>
      <c r="D403" s="78" t="s">
        <v>40</v>
      </c>
      <c r="E403" s="78" t="s">
        <v>26</v>
      </c>
      <c r="F403" s="78" t="s">
        <v>19</v>
      </c>
      <c r="G403" s="79">
        <v>546.48</v>
      </c>
      <c r="H403" s="80">
        <v>42</v>
      </c>
      <c r="I403" s="81">
        <v>92.6</v>
      </c>
      <c r="J403" s="80">
        <v>34</v>
      </c>
      <c r="K403" s="79">
        <v>18580.32</v>
      </c>
      <c r="L403" s="82">
        <v>45529</v>
      </c>
      <c r="M403" s="80" t="str">
        <f t="shared" si="12"/>
        <v>OK</v>
      </c>
      <c r="N403" s="80" t="str">
        <f t="shared" si="13"/>
        <v>High</v>
      </c>
    </row>
    <row r="404" spans="1:14" ht="16.5" x14ac:dyDescent="0.2">
      <c r="A404" s="72" t="s">
        <v>837</v>
      </c>
      <c r="B404" s="83" t="s">
        <v>838</v>
      </c>
      <c r="C404" s="83" t="s">
        <v>39</v>
      </c>
      <c r="D404" s="83" t="s">
        <v>17</v>
      </c>
      <c r="E404" s="83" t="s">
        <v>18</v>
      </c>
      <c r="F404" s="83" t="s">
        <v>42</v>
      </c>
      <c r="G404" s="84">
        <v>2529.66</v>
      </c>
      <c r="H404" s="85">
        <v>10</v>
      </c>
      <c r="I404" s="76">
        <v>64.2</v>
      </c>
      <c r="J404" s="85">
        <v>361</v>
      </c>
      <c r="K404" s="84">
        <v>913207.26</v>
      </c>
      <c r="L404" s="86">
        <v>45311</v>
      </c>
      <c r="M404" s="85" t="str">
        <f t="shared" si="12"/>
        <v>At Risk</v>
      </c>
      <c r="N404" s="85" t="str">
        <f t="shared" si="13"/>
        <v>Premium</v>
      </c>
    </row>
    <row r="405" spans="1:14" ht="16.5" x14ac:dyDescent="0.2">
      <c r="A405" s="126" t="s">
        <v>839</v>
      </c>
      <c r="B405" s="78" t="s">
        <v>840</v>
      </c>
      <c r="C405" s="78" t="s">
        <v>16</v>
      </c>
      <c r="D405" s="78" t="s">
        <v>40</v>
      </c>
      <c r="E405" s="78" t="s">
        <v>18</v>
      </c>
      <c r="F405" s="78" t="s">
        <v>19</v>
      </c>
      <c r="G405" s="79">
        <v>517.1</v>
      </c>
      <c r="H405" s="80">
        <v>45</v>
      </c>
      <c r="I405" s="81">
        <v>61.2</v>
      </c>
      <c r="J405" s="80">
        <v>435</v>
      </c>
      <c r="K405" s="79">
        <v>224938.5</v>
      </c>
      <c r="L405" s="82">
        <v>45506</v>
      </c>
      <c r="M405" s="80" t="str">
        <f t="shared" si="12"/>
        <v>At Risk</v>
      </c>
      <c r="N405" s="80" t="str">
        <f t="shared" si="13"/>
        <v>High</v>
      </c>
    </row>
    <row r="406" spans="1:14" ht="16.5" x14ac:dyDescent="0.2">
      <c r="A406" s="72" t="s">
        <v>841</v>
      </c>
      <c r="B406" s="83" t="s">
        <v>842</v>
      </c>
      <c r="C406" s="83" t="s">
        <v>16</v>
      </c>
      <c r="D406" s="83" t="s">
        <v>17</v>
      </c>
      <c r="E406" s="83" t="s">
        <v>58</v>
      </c>
      <c r="F406" s="83" t="s">
        <v>19</v>
      </c>
      <c r="G406" s="84">
        <v>423.3</v>
      </c>
      <c r="H406" s="85">
        <v>39</v>
      </c>
      <c r="I406" s="76">
        <v>64</v>
      </c>
      <c r="J406" s="85">
        <v>144</v>
      </c>
      <c r="K406" s="84">
        <v>60955.199999999997</v>
      </c>
      <c r="L406" s="86">
        <v>46363</v>
      </c>
      <c r="M406" s="85" t="str">
        <f t="shared" si="12"/>
        <v>At Risk</v>
      </c>
      <c r="N406" s="85" t="str">
        <f t="shared" si="13"/>
        <v>High</v>
      </c>
    </row>
    <row r="407" spans="1:14" ht="16.5" x14ac:dyDescent="0.2">
      <c r="A407" s="126" t="s">
        <v>843</v>
      </c>
      <c r="B407" s="78" t="s">
        <v>844</v>
      </c>
      <c r="C407" s="78" t="s">
        <v>39</v>
      </c>
      <c r="D407" s="78" t="s">
        <v>17</v>
      </c>
      <c r="E407" s="78" t="s">
        <v>26</v>
      </c>
      <c r="F407" s="78" t="s">
        <v>42</v>
      </c>
      <c r="G407" s="79">
        <v>2876.25</v>
      </c>
      <c r="H407" s="80">
        <v>59</v>
      </c>
      <c r="I407" s="81">
        <v>64.3</v>
      </c>
      <c r="J407" s="80">
        <v>487</v>
      </c>
      <c r="K407" s="79">
        <v>1400733.75</v>
      </c>
      <c r="L407" s="82">
        <v>46276</v>
      </c>
      <c r="M407" s="80" t="str">
        <f t="shared" si="12"/>
        <v>At Risk</v>
      </c>
      <c r="N407" s="80" t="str">
        <f t="shared" si="13"/>
        <v>Premium</v>
      </c>
    </row>
    <row r="408" spans="1:14" ht="16.5" x14ac:dyDescent="0.2">
      <c r="A408" s="72" t="s">
        <v>845</v>
      </c>
      <c r="B408" s="83" t="s">
        <v>846</v>
      </c>
      <c r="C408" s="83" t="s">
        <v>16</v>
      </c>
      <c r="D408" s="83" t="s">
        <v>17</v>
      </c>
      <c r="E408" s="83" t="s">
        <v>58</v>
      </c>
      <c r="F408" s="83" t="s">
        <v>19</v>
      </c>
      <c r="G408" s="84">
        <v>730.16</v>
      </c>
      <c r="H408" s="85">
        <v>54</v>
      </c>
      <c r="I408" s="76">
        <v>80.8</v>
      </c>
      <c r="J408" s="85">
        <v>262</v>
      </c>
      <c r="K408" s="84">
        <v>191301.92</v>
      </c>
      <c r="L408" s="86">
        <v>45597</v>
      </c>
      <c r="M408" s="85" t="str">
        <f t="shared" si="12"/>
        <v>At Risk</v>
      </c>
      <c r="N408" s="85" t="str">
        <f t="shared" si="13"/>
        <v>High</v>
      </c>
    </row>
    <row r="409" spans="1:14" ht="16.5" x14ac:dyDescent="0.2">
      <c r="A409" s="126" t="s">
        <v>847</v>
      </c>
      <c r="B409" s="78" t="s">
        <v>848</v>
      </c>
      <c r="C409" s="78" t="s">
        <v>16</v>
      </c>
      <c r="D409" s="78" t="s">
        <v>40</v>
      </c>
      <c r="E409" s="78" t="s">
        <v>58</v>
      </c>
      <c r="F409" s="78" t="s">
        <v>19</v>
      </c>
      <c r="G409" s="79">
        <v>728.58</v>
      </c>
      <c r="H409" s="80">
        <v>42</v>
      </c>
      <c r="I409" s="81">
        <v>65.400000000000006</v>
      </c>
      <c r="J409" s="80">
        <v>161</v>
      </c>
      <c r="K409" s="79">
        <v>117301.38</v>
      </c>
      <c r="L409" s="82">
        <v>45832</v>
      </c>
      <c r="M409" s="80" t="str">
        <f t="shared" si="12"/>
        <v>At Risk</v>
      </c>
      <c r="N409" s="80" t="str">
        <f t="shared" si="13"/>
        <v>High</v>
      </c>
    </row>
    <row r="410" spans="1:14" ht="16.5" x14ac:dyDescent="0.2">
      <c r="A410" s="72" t="s">
        <v>849</v>
      </c>
      <c r="B410" s="83" t="s">
        <v>850</v>
      </c>
      <c r="C410" s="83" t="s">
        <v>16</v>
      </c>
      <c r="D410" s="83" t="s">
        <v>34</v>
      </c>
      <c r="E410" s="83" t="s">
        <v>26</v>
      </c>
      <c r="F410" s="83" t="s">
        <v>19</v>
      </c>
      <c r="G410" s="84">
        <v>689.19</v>
      </c>
      <c r="H410" s="85">
        <v>24</v>
      </c>
      <c r="I410" s="76">
        <v>91.1</v>
      </c>
      <c r="J410" s="85">
        <v>170</v>
      </c>
      <c r="K410" s="84">
        <v>117162.3</v>
      </c>
      <c r="L410" s="86">
        <v>46164</v>
      </c>
      <c r="M410" s="85" t="str">
        <f t="shared" si="12"/>
        <v>Monitor</v>
      </c>
      <c r="N410" s="85" t="str">
        <f t="shared" si="13"/>
        <v>High</v>
      </c>
    </row>
    <row r="411" spans="1:14" ht="16.5" x14ac:dyDescent="0.2">
      <c r="A411" s="126" t="s">
        <v>851</v>
      </c>
      <c r="B411" s="78" t="s">
        <v>852</v>
      </c>
      <c r="C411" s="78" t="s">
        <v>16</v>
      </c>
      <c r="D411" s="78" t="s">
        <v>17</v>
      </c>
      <c r="E411" s="78" t="s">
        <v>45</v>
      </c>
      <c r="F411" s="78" t="s">
        <v>19</v>
      </c>
      <c r="G411" s="79">
        <v>547.52</v>
      </c>
      <c r="H411" s="80">
        <v>11</v>
      </c>
      <c r="I411" s="81">
        <v>69.8</v>
      </c>
      <c r="J411" s="80">
        <v>467</v>
      </c>
      <c r="K411" s="79">
        <v>255691.84</v>
      </c>
      <c r="L411" s="82">
        <v>46188</v>
      </c>
      <c r="M411" s="80" t="str">
        <f t="shared" si="12"/>
        <v>At Risk</v>
      </c>
      <c r="N411" s="80" t="str">
        <f t="shared" si="13"/>
        <v>High</v>
      </c>
    </row>
    <row r="412" spans="1:14" ht="16.5" x14ac:dyDescent="0.2">
      <c r="A412" s="72" t="s">
        <v>853</v>
      </c>
      <c r="B412" s="83" t="s">
        <v>854</v>
      </c>
      <c r="C412" s="83" t="s">
        <v>16</v>
      </c>
      <c r="D412" s="83" t="s">
        <v>40</v>
      </c>
      <c r="E412" s="83" t="s">
        <v>41</v>
      </c>
      <c r="F412" s="83" t="s">
        <v>19</v>
      </c>
      <c r="G412" s="84">
        <v>187.15</v>
      </c>
      <c r="H412" s="85">
        <v>26</v>
      </c>
      <c r="I412" s="76">
        <v>73</v>
      </c>
      <c r="J412" s="85">
        <v>243</v>
      </c>
      <c r="K412" s="84">
        <v>45477.45</v>
      </c>
      <c r="L412" s="86">
        <v>45848</v>
      </c>
      <c r="M412" s="85" t="str">
        <f t="shared" si="12"/>
        <v>At Risk</v>
      </c>
      <c r="N412" s="85" t="str">
        <f t="shared" si="13"/>
        <v>Medium</v>
      </c>
    </row>
    <row r="413" spans="1:14" ht="16.5" x14ac:dyDescent="0.2">
      <c r="A413" s="126" t="s">
        <v>855</v>
      </c>
      <c r="B413" s="78" t="s">
        <v>856</v>
      </c>
      <c r="C413" s="78" t="s">
        <v>39</v>
      </c>
      <c r="D413" s="78" t="s">
        <v>40</v>
      </c>
      <c r="E413" s="78" t="s">
        <v>45</v>
      </c>
      <c r="F413" s="78" t="s">
        <v>42</v>
      </c>
      <c r="G413" s="79">
        <v>831.37</v>
      </c>
      <c r="H413" s="80">
        <v>45</v>
      </c>
      <c r="I413" s="81">
        <v>87.7</v>
      </c>
      <c r="J413" s="80">
        <v>492</v>
      </c>
      <c r="K413" s="79">
        <v>409034.04</v>
      </c>
      <c r="L413" s="82">
        <v>45618</v>
      </c>
      <c r="M413" s="80" t="str">
        <f t="shared" si="12"/>
        <v>Monitor</v>
      </c>
      <c r="N413" s="80" t="str">
        <f t="shared" si="13"/>
        <v>High</v>
      </c>
    </row>
    <row r="414" spans="1:14" ht="16.5" x14ac:dyDescent="0.2">
      <c r="A414" s="72" t="s">
        <v>857</v>
      </c>
      <c r="B414" s="83" t="s">
        <v>858</v>
      </c>
      <c r="C414" s="83" t="s">
        <v>25</v>
      </c>
      <c r="D414" s="83" t="s">
        <v>40</v>
      </c>
      <c r="E414" s="83" t="s">
        <v>51</v>
      </c>
      <c r="F414" s="83" t="s">
        <v>27</v>
      </c>
      <c r="G414" s="84">
        <v>16.14</v>
      </c>
      <c r="H414" s="85">
        <v>25</v>
      </c>
      <c r="I414" s="76">
        <v>90.1</v>
      </c>
      <c r="J414" s="85">
        <v>323</v>
      </c>
      <c r="K414" s="84">
        <v>5213.22</v>
      </c>
      <c r="L414" s="86">
        <v>45351</v>
      </c>
      <c r="M414" s="85" t="str">
        <f t="shared" si="12"/>
        <v>Monitor</v>
      </c>
      <c r="N414" s="85" t="str">
        <f t="shared" si="13"/>
        <v>Low</v>
      </c>
    </row>
    <row r="415" spans="1:14" ht="16.5" x14ac:dyDescent="0.2">
      <c r="A415" s="126" t="s">
        <v>859</v>
      </c>
      <c r="B415" s="78" t="s">
        <v>860</v>
      </c>
      <c r="C415" s="78" t="s">
        <v>39</v>
      </c>
      <c r="D415" s="78" t="s">
        <v>17</v>
      </c>
      <c r="E415" s="78" t="s">
        <v>31</v>
      </c>
      <c r="F415" s="78" t="s">
        <v>42</v>
      </c>
      <c r="G415" s="79">
        <v>2371.23</v>
      </c>
      <c r="H415" s="80">
        <v>5</v>
      </c>
      <c r="I415" s="81">
        <v>66.8</v>
      </c>
      <c r="J415" s="80">
        <v>170</v>
      </c>
      <c r="K415" s="79">
        <v>403109.1</v>
      </c>
      <c r="L415" s="82">
        <v>45317</v>
      </c>
      <c r="M415" s="80" t="str">
        <f t="shared" si="12"/>
        <v>At Risk</v>
      </c>
      <c r="N415" s="80" t="str">
        <f t="shared" si="13"/>
        <v>Premium</v>
      </c>
    </row>
    <row r="416" spans="1:14" ht="16.5" x14ac:dyDescent="0.2">
      <c r="A416" s="72" t="s">
        <v>861</v>
      </c>
      <c r="B416" s="83" t="s">
        <v>862</v>
      </c>
      <c r="C416" s="83" t="s">
        <v>25</v>
      </c>
      <c r="D416" s="83" t="s">
        <v>17</v>
      </c>
      <c r="E416" s="83" t="s">
        <v>41</v>
      </c>
      <c r="F416" s="83" t="s">
        <v>27</v>
      </c>
      <c r="G416" s="84">
        <v>42.49</v>
      </c>
      <c r="H416" s="85">
        <v>45</v>
      </c>
      <c r="I416" s="76">
        <v>86.5</v>
      </c>
      <c r="J416" s="85">
        <v>58</v>
      </c>
      <c r="K416" s="84">
        <v>2464.42</v>
      </c>
      <c r="L416" s="86">
        <v>46178</v>
      </c>
      <c r="M416" s="85" t="str">
        <f t="shared" si="12"/>
        <v>Monitor</v>
      </c>
      <c r="N416" s="85" t="str">
        <f t="shared" si="13"/>
        <v>Low</v>
      </c>
    </row>
    <row r="417" spans="1:14" ht="16.5" x14ac:dyDescent="0.2">
      <c r="A417" s="126" t="s">
        <v>863</v>
      </c>
      <c r="B417" s="78" t="s">
        <v>864</v>
      </c>
      <c r="C417" s="78" t="s">
        <v>30</v>
      </c>
      <c r="D417" s="78" t="s">
        <v>40</v>
      </c>
      <c r="E417" s="78" t="s">
        <v>31</v>
      </c>
      <c r="F417" s="78" t="s">
        <v>1072</v>
      </c>
      <c r="G417" s="79">
        <v>467.58</v>
      </c>
      <c r="H417" s="80">
        <v>53</v>
      </c>
      <c r="I417" s="81">
        <v>80.099999999999994</v>
      </c>
      <c r="J417" s="80">
        <v>323</v>
      </c>
      <c r="K417" s="79">
        <v>151028.34</v>
      </c>
      <c r="L417" s="82">
        <v>45403</v>
      </c>
      <c r="M417" s="80" t="str">
        <f t="shared" si="12"/>
        <v>At Risk</v>
      </c>
      <c r="N417" s="80" t="str">
        <f t="shared" si="13"/>
        <v>High</v>
      </c>
    </row>
    <row r="418" spans="1:14" ht="16.5" x14ac:dyDescent="0.2">
      <c r="A418" s="72" t="s">
        <v>865</v>
      </c>
      <c r="B418" s="83" t="s">
        <v>866</v>
      </c>
      <c r="C418" s="83" t="s">
        <v>25</v>
      </c>
      <c r="D418" s="83" t="s">
        <v>34</v>
      </c>
      <c r="E418" s="83" t="s">
        <v>51</v>
      </c>
      <c r="F418" s="83" t="s">
        <v>27</v>
      </c>
      <c r="G418" s="84">
        <v>69.81</v>
      </c>
      <c r="H418" s="85">
        <v>5</v>
      </c>
      <c r="I418" s="76">
        <v>88.8</v>
      </c>
      <c r="J418" s="85">
        <v>174</v>
      </c>
      <c r="K418" s="84">
        <v>12146.94</v>
      </c>
      <c r="L418" s="86">
        <v>45785</v>
      </c>
      <c r="M418" s="85" t="str">
        <f t="shared" si="12"/>
        <v>Monitor</v>
      </c>
      <c r="N418" s="85" t="str">
        <f t="shared" si="13"/>
        <v>Medium</v>
      </c>
    </row>
    <row r="419" spans="1:14" ht="16.5" x14ac:dyDescent="0.2">
      <c r="A419" s="126" t="s">
        <v>867</v>
      </c>
      <c r="B419" s="78" t="s">
        <v>868</v>
      </c>
      <c r="C419" s="78" t="s">
        <v>16</v>
      </c>
      <c r="D419" s="78" t="s">
        <v>40</v>
      </c>
      <c r="E419" s="78" t="s">
        <v>31</v>
      </c>
      <c r="F419" s="78" t="s">
        <v>19</v>
      </c>
      <c r="G419" s="79">
        <v>352.46</v>
      </c>
      <c r="H419" s="80">
        <v>16</v>
      </c>
      <c r="I419" s="81">
        <v>58.5</v>
      </c>
      <c r="J419" s="80">
        <v>237</v>
      </c>
      <c r="K419" s="79">
        <v>83533.02</v>
      </c>
      <c r="L419" s="82">
        <v>46209</v>
      </c>
      <c r="M419" s="80" t="str">
        <f t="shared" si="12"/>
        <v>At Risk</v>
      </c>
      <c r="N419" s="80" t="str">
        <f t="shared" si="13"/>
        <v>High</v>
      </c>
    </row>
    <row r="420" spans="1:14" ht="16.5" x14ac:dyDescent="0.2">
      <c r="A420" s="72" t="s">
        <v>869</v>
      </c>
      <c r="B420" s="83" t="s">
        <v>870</v>
      </c>
      <c r="C420" s="83" t="s">
        <v>39</v>
      </c>
      <c r="D420" s="83" t="s">
        <v>40</v>
      </c>
      <c r="E420" s="83" t="s">
        <v>51</v>
      </c>
      <c r="F420" s="83" t="s">
        <v>42</v>
      </c>
      <c r="G420" s="84">
        <v>3802.62</v>
      </c>
      <c r="H420" s="85">
        <v>2</v>
      </c>
      <c r="I420" s="76">
        <v>59.6</v>
      </c>
      <c r="J420" s="85">
        <v>221</v>
      </c>
      <c r="K420" s="84">
        <v>840379.02</v>
      </c>
      <c r="L420" s="86">
        <v>45365</v>
      </c>
      <c r="M420" s="85" t="str">
        <f t="shared" si="12"/>
        <v>At Risk</v>
      </c>
      <c r="N420" s="85" t="str">
        <f t="shared" si="13"/>
        <v>Premium</v>
      </c>
    </row>
    <row r="421" spans="1:14" ht="16.5" x14ac:dyDescent="0.2">
      <c r="A421" s="126" t="s">
        <v>871</v>
      </c>
      <c r="B421" s="78" t="s">
        <v>872</v>
      </c>
      <c r="C421" s="78" t="s">
        <v>16</v>
      </c>
      <c r="D421" s="78" t="s">
        <v>34</v>
      </c>
      <c r="E421" s="78" t="s">
        <v>18</v>
      </c>
      <c r="F421" s="78" t="s">
        <v>19</v>
      </c>
      <c r="G421" s="79">
        <v>717.58</v>
      </c>
      <c r="H421" s="80">
        <v>36</v>
      </c>
      <c r="I421" s="81">
        <v>64.3</v>
      </c>
      <c r="J421" s="80">
        <v>353</v>
      </c>
      <c r="K421" s="79">
        <v>253305.74</v>
      </c>
      <c r="L421" s="82">
        <v>46226</v>
      </c>
      <c r="M421" s="80" t="str">
        <f t="shared" si="12"/>
        <v>At Risk</v>
      </c>
      <c r="N421" s="80" t="str">
        <f t="shared" si="13"/>
        <v>High</v>
      </c>
    </row>
    <row r="422" spans="1:14" ht="16.5" x14ac:dyDescent="0.2">
      <c r="A422" s="72" t="s">
        <v>873</v>
      </c>
      <c r="B422" s="83" t="s">
        <v>874</v>
      </c>
      <c r="C422" s="83" t="s">
        <v>16</v>
      </c>
      <c r="D422" s="83" t="s">
        <v>34</v>
      </c>
      <c r="E422" s="83" t="s">
        <v>51</v>
      </c>
      <c r="F422" s="83" t="s">
        <v>19</v>
      </c>
      <c r="G422" s="84">
        <v>298.98</v>
      </c>
      <c r="H422" s="85">
        <v>50</v>
      </c>
      <c r="I422" s="76">
        <v>82.9</v>
      </c>
      <c r="J422" s="85">
        <v>252</v>
      </c>
      <c r="K422" s="84">
        <v>75342.960000000006</v>
      </c>
      <c r="L422" s="86">
        <v>46036</v>
      </c>
      <c r="M422" s="85" t="str">
        <f t="shared" si="12"/>
        <v>At Risk</v>
      </c>
      <c r="N422" s="85" t="str">
        <f t="shared" si="13"/>
        <v>High</v>
      </c>
    </row>
    <row r="423" spans="1:14" ht="16.5" x14ac:dyDescent="0.2">
      <c r="A423" s="126" t="s">
        <v>875</v>
      </c>
      <c r="B423" s="78" t="s">
        <v>876</v>
      </c>
      <c r="C423" s="78" t="s">
        <v>16</v>
      </c>
      <c r="D423" s="78" t="s">
        <v>34</v>
      </c>
      <c r="E423" s="78" t="s">
        <v>22</v>
      </c>
      <c r="F423" s="78" t="s">
        <v>19</v>
      </c>
      <c r="G423" s="79">
        <v>51.65</v>
      </c>
      <c r="H423" s="80">
        <v>23</v>
      </c>
      <c r="I423" s="81">
        <v>92.3</v>
      </c>
      <c r="J423" s="80">
        <v>419</v>
      </c>
      <c r="K423" s="79">
        <v>21641.35</v>
      </c>
      <c r="L423" s="82">
        <v>45889</v>
      </c>
      <c r="M423" s="80" t="str">
        <f t="shared" si="12"/>
        <v>OK</v>
      </c>
      <c r="N423" s="80" t="str">
        <f t="shared" si="13"/>
        <v>Medium</v>
      </c>
    </row>
    <row r="424" spans="1:14" ht="16.5" x14ac:dyDescent="0.2">
      <c r="A424" s="72" t="s">
        <v>877</v>
      </c>
      <c r="B424" s="83" t="s">
        <v>878</v>
      </c>
      <c r="C424" s="83" t="s">
        <v>30</v>
      </c>
      <c r="D424" s="83" t="s">
        <v>40</v>
      </c>
      <c r="E424" s="83" t="s">
        <v>26</v>
      </c>
      <c r="F424" s="83" t="s">
        <v>1072</v>
      </c>
      <c r="G424" s="84">
        <v>1814.38</v>
      </c>
      <c r="H424" s="85">
        <v>32</v>
      </c>
      <c r="I424" s="76">
        <v>61.3</v>
      </c>
      <c r="J424" s="85">
        <v>377</v>
      </c>
      <c r="K424" s="84">
        <v>684021.26</v>
      </c>
      <c r="L424" s="86">
        <v>46130</v>
      </c>
      <c r="M424" s="85" t="str">
        <f t="shared" si="12"/>
        <v>At Risk</v>
      </c>
      <c r="N424" s="85" t="str">
        <f t="shared" si="13"/>
        <v>Premium</v>
      </c>
    </row>
    <row r="425" spans="1:14" ht="16.5" x14ac:dyDescent="0.2">
      <c r="A425" s="126" t="s">
        <v>879</v>
      </c>
      <c r="B425" s="78" t="s">
        <v>880</v>
      </c>
      <c r="C425" s="78" t="s">
        <v>25</v>
      </c>
      <c r="D425" s="78" t="s">
        <v>17</v>
      </c>
      <c r="E425" s="78" t="s">
        <v>58</v>
      </c>
      <c r="F425" s="78" t="s">
        <v>27</v>
      </c>
      <c r="G425" s="79">
        <v>74.56</v>
      </c>
      <c r="H425" s="80">
        <v>26</v>
      </c>
      <c r="I425" s="81">
        <v>64.7</v>
      </c>
      <c r="J425" s="80">
        <v>432</v>
      </c>
      <c r="K425" s="79">
        <v>32209.919999999998</v>
      </c>
      <c r="L425" s="82">
        <v>45682</v>
      </c>
      <c r="M425" s="80" t="str">
        <f t="shared" si="12"/>
        <v>At Risk</v>
      </c>
      <c r="N425" s="80" t="str">
        <f t="shared" si="13"/>
        <v>Medium</v>
      </c>
    </row>
    <row r="426" spans="1:14" ht="16.5" x14ac:dyDescent="0.2">
      <c r="A426" s="72" t="s">
        <v>881</v>
      </c>
      <c r="B426" s="83" t="s">
        <v>882</v>
      </c>
      <c r="C426" s="83" t="s">
        <v>39</v>
      </c>
      <c r="D426" s="83" t="s">
        <v>17</v>
      </c>
      <c r="E426" s="83" t="s">
        <v>58</v>
      </c>
      <c r="F426" s="83" t="s">
        <v>42</v>
      </c>
      <c r="G426" s="84">
        <v>3929.08</v>
      </c>
      <c r="H426" s="85">
        <v>29</v>
      </c>
      <c r="I426" s="76">
        <v>75.599999999999994</v>
      </c>
      <c r="J426" s="85">
        <v>311</v>
      </c>
      <c r="K426" s="84">
        <v>1221943.8799999999</v>
      </c>
      <c r="L426" s="86">
        <v>46324</v>
      </c>
      <c r="M426" s="85" t="str">
        <f t="shared" si="12"/>
        <v>At Risk</v>
      </c>
      <c r="N426" s="85" t="str">
        <f t="shared" si="13"/>
        <v>Premium</v>
      </c>
    </row>
    <row r="427" spans="1:14" ht="16.5" x14ac:dyDescent="0.2">
      <c r="A427" s="126" t="s">
        <v>883</v>
      </c>
      <c r="B427" s="78" t="s">
        <v>884</v>
      </c>
      <c r="C427" s="78" t="s">
        <v>16</v>
      </c>
      <c r="D427" s="78" t="s">
        <v>40</v>
      </c>
      <c r="E427" s="78" t="s">
        <v>26</v>
      </c>
      <c r="F427" s="78" t="s">
        <v>19</v>
      </c>
      <c r="G427" s="79">
        <v>464.92</v>
      </c>
      <c r="H427" s="80">
        <v>28</v>
      </c>
      <c r="I427" s="81">
        <v>92.7</v>
      </c>
      <c r="J427" s="80">
        <v>257</v>
      </c>
      <c r="K427" s="79">
        <v>119484.44</v>
      </c>
      <c r="L427" s="82">
        <v>46333</v>
      </c>
      <c r="M427" s="80" t="str">
        <f t="shared" si="12"/>
        <v>OK</v>
      </c>
      <c r="N427" s="80" t="str">
        <f t="shared" si="13"/>
        <v>High</v>
      </c>
    </row>
    <row r="428" spans="1:14" ht="16.5" x14ac:dyDescent="0.2">
      <c r="A428" s="72" t="s">
        <v>885</v>
      </c>
      <c r="B428" s="83" t="s">
        <v>886</v>
      </c>
      <c r="C428" s="83" t="s">
        <v>48</v>
      </c>
      <c r="D428" s="83" t="s">
        <v>40</v>
      </c>
      <c r="E428" s="83" t="s">
        <v>45</v>
      </c>
      <c r="F428" s="83" t="s">
        <v>1073</v>
      </c>
      <c r="G428" s="84">
        <v>16.91</v>
      </c>
      <c r="H428" s="85">
        <v>43</v>
      </c>
      <c r="I428" s="76">
        <v>82</v>
      </c>
      <c r="J428" s="85">
        <v>461</v>
      </c>
      <c r="K428" s="84">
        <v>7795.51</v>
      </c>
      <c r="L428" s="86">
        <v>45951</v>
      </c>
      <c r="M428" s="85" t="str">
        <f t="shared" si="12"/>
        <v>At Risk</v>
      </c>
      <c r="N428" s="85" t="str">
        <f t="shared" si="13"/>
        <v>Low</v>
      </c>
    </row>
    <row r="429" spans="1:14" ht="16.5" x14ac:dyDescent="0.2">
      <c r="A429" s="126" t="s">
        <v>887</v>
      </c>
      <c r="B429" s="78" t="s">
        <v>888</v>
      </c>
      <c r="C429" s="78" t="s">
        <v>39</v>
      </c>
      <c r="D429" s="78" t="s">
        <v>34</v>
      </c>
      <c r="E429" s="78" t="s">
        <v>22</v>
      </c>
      <c r="F429" s="78" t="s">
        <v>42</v>
      </c>
      <c r="G429" s="79">
        <v>1585.9</v>
      </c>
      <c r="H429" s="80">
        <v>22</v>
      </c>
      <c r="I429" s="81">
        <v>98.7</v>
      </c>
      <c r="J429" s="80">
        <v>241</v>
      </c>
      <c r="K429" s="79">
        <v>382201.9</v>
      </c>
      <c r="L429" s="82">
        <v>45565</v>
      </c>
      <c r="M429" s="80" t="str">
        <f t="shared" si="12"/>
        <v>OK</v>
      </c>
      <c r="N429" s="80" t="str">
        <f t="shared" si="13"/>
        <v>Premium</v>
      </c>
    </row>
    <row r="430" spans="1:14" ht="16.5" x14ac:dyDescent="0.2">
      <c r="A430" s="72" t="s">
        <v>889</v>
      </c>
      <c r="B430" s="83" t="s">
        <v>890</v>
      </c>
      <c r="C430" s="83" t="s">
        <v>25</v>
      </c>
      <c r="D430" s="83" t="s">
        <v>40</v>
      </c>
      <c r="E430" s="83" t="s">
        <v>18</v>
      </c>
      <c r="F430" s="83" t="s">
        <v>27</v>
      </c>
      <c r="G430" s="84">
        <v>67.760000000000005</v>
      </c>
      <c r="H430" s="85">
        <v>36</v>
      </c>
      <c r="I430" s="76">
        <v>93.7</v>
      </c>
      <c r="J430" s="85">
        <v>374</v>
      </c>
      <c r="K430" s="84">
        <v>25342.240000000002</v>
      </c>
      <c r="L430" s="86">
        <v>45737</v>
      </c>
      <c r="M430" s="85" t="str">
        <f t="shared" si="12"/>
        <v>OK</v>
      </c>
      <c r="N430" s="85" t="str">
        <f t="shared" si="13"/>
        <v>Medium</v>
      </c>
    </row>
    <row r="431" spans="1:14" ht="16.5" x14ac:dyDescent="0.2">
      <c r="A431" s="126" t="s">
        <v>891</v>
      </c>
      <c r="B431" s="78" t="s">
        <v>892</v>
      </c>
      <c r="C431" s="78" t="s">
        <v>25</v>
      </c>
      <c r="D431" s="78" t="s">
        <v>40</v>
      </c>
      <c r="E431" s="78" t="s">
        <v>41</v>
      </c>
      <c r="F431" s="78" t="s">
        <v>27</v>
      </c>
      <c r="G431" s="79">
        <v>73.849999999999994</v>
      </c>
      <c r="H431" s="80">
        <v>9</v>
      </c>
      <c r="I431" s="81">
        <v>99.2</v>
      </c>
      <c r="J431" s="80">
        <v>342</v>
      </c>
      <c r="K431" s="79">
        <v>25256.7</v>
      </c>
      <c r="L431" s="82">
        <v>45656</v>
      </c>
      <c r="M431" s="80" t="str">
        <f t="shared" si="12"/>
        <v>OK</v>
      </c>
      <c r="N431" s="80" t="str">
        <f t="shared" si="13"/>
        <v>Medium</v>
      </c>
    </row>
    <row r="432" spans="1:14" ht="16.5" x14ac:dyDescent="0.2">
      <c r="A432" s="72" t="s">
        <v>893</v>
      </c>
      <c r="B432" s="83" t="s">
        <v>894</v>
      </c>
      <c r="C432" s="83" t="s">
        <v>30</v>
      </c>
      <c r="D432" s="83" t="s">
        <v>40</v>
      </c>
      <c r="E432" s="83" t="s">
        <v>41</v>
      </c>
      <c r="F432" s="83" t="s">
        <v>1072</v>
      </c>
      <c r="G432" s="84">
        <v>1212.0999999999999</v>
      </c>
      <c r="H432" s="85">
        <v>38</v>
      </c>
      <c r="I432" s="76">
        <v>80.7</v>
      </c>
      <c r="J432" s="85">
        <v>351</v>
      </c>
      <c r="K432" s="84">
        <v>425447.1</v>
      </c>
      <c r="L432" s="86">
        <v>46146</v>
      </c>
      <c r="M432" s="85" t="str">
        <f t="shared" si="12"/>
        <v>At Risk</v>
      </c>
      <c r="N432" s="85" t="str">
        <f t="shared" si="13"/>
        <v>Premium</v>
      </c>
    </row>
    <row r="433" spans="1:14" ht="16.5" x14ac:dyDescent="0.2">
      <c r="A433" s="126" t="s">
        <v>895</v>
      </c>
      <c r="B433" s="78" t="s">
        <v>896</v>
      </c>
      <c r="C433" s="78" t="s">
        <v>39</v>
      </c>
      <c r="D433" s="78" t="s">
        <v>34</v>
      </c>
      <c r="E433" s="78" t="s">
        <v>58</v>
      </c>
      <c r="F433" s="78" t="s">
        <v>42</v>
      </c>
      <c r="G433" s="79">
        <v>418.78</v>
      </c>
      <c r="H433" s="80">
        <v>10</v>
      </c>
      <c r="I433" s="81">
        <v>57.4</v>
      </c>
      <c r="J433" s="80">
        <v>38</v>
      </c>
      <c r="K433" s="79">
        <v>15913.64</v>
      </c>
      <c r="L433" s="82">
        <v>45701</v>
      </c>
      <c r="M433" s="80" t="str">
        <f t="shared" si="12"/>
        <v>At Risk</v>
      </c>
      <c r="N433" s="80" t="str">
        <f t="shared" si="13"/>
        <v>High</v>
      </c>
    </row>
    <row r="434" spans="1:14" ht="16.5" x14ac:dyDescent="0.2">
      <c r="A434" s="72" t="s">
        <v>897</v>
      </c>
      <c r="B434" s="83" t="s">
        <v>898</v>
      </c>
      <c r="C434" s="83" t="s">
        <v>30</v>
      </c>
      <c r="D434" s="83" t="s">
        <v>40</v>
      </c>
      <c r="E434" s="83" t="s">
        <v>45</v>
      </c>
      <c r="F434" s="83" t="s">
        <v>1072</v>
      </c>
      <c r="G434" s="84">
        <v>1710.89</v>
      </c>
      <c r="H434" s="85">
        <v>45</v>
      </c>
      <c r="I434" s="76">
        <v>90.3</v>
      </c>
      <c r="J434" s="85">
        <v>114</v>
      </c>
      <c r="K434" s="84">
        <v>195041.46</v>
      </c>
      <c r="L434" s="86">
        <v>45358</v>
      </c>
      <c r="M434" s="85" t="str">
        <f t="shared" si="12"/>
        <v>Monitor</v>
      </c>
      <c r="N434" s="85" t="str">
        <f t="shared" si="13"/>
        <v>Premium</v>
      </c>
    </row>
    <row r="435" spans="1:14" ht="16.5" x14ac:dyDescent="0.2">
      <c r="A435" s="126" t="s">
        <v>899</v>
      </c>
      <c r="B435" s="78" t="s">
        <v>900</v>
      </c>
      <c r="C435" s="78" t="s">
        <v>16</v>
      </c>
      <c r="D435" s="78" t="s">
        <v>40</v>
      </c>
      <c r="E435" s="78" t="s">
        <v>22</v>
      </c>
      <c r="F435" s="78" t="s">
        <v>19</v>
      </c>
      <c r="G435" s="79">
        <v>606.80999999999995</v>
      </c>
      <c r="H435" s="80">
        <v>36</v>
      </c>
      <c r="I435" s="81">
        <v>72.5</v>
      </c>
      <c r="J435" s="80">
        <v>271</v>
      </c>
      <c r="K435" s="79">
        <v>164445.51</v>
      </c>
      <c r="L435" s="82">
        <v>45881</v>
      </c>
      <c r="M435" s="80" t="str">
        <f t="shared" si="12"/>
        <v>At Risk</v>
      </c>
      <c r="N435" s="80" t="str">
        <f t="shared" si="13"/>
        <v>High</v>
      </c>
    </row>
    <row r="436" spans="1:14" ht="16.5" x14ac:dyDescent="0.2">
      <c r="A436" s="72" t="s">
        <v>901</v>
      </c>
      <c r="B436" s="83" t="s">
        <v>902</v>
      </c>
      <c r="C436" s="83" t="s">
        <v>39</v>
      </c>
      <c r="D436" s="83" t="s">
        <v>40</v>
      </c>
      <c r="E436" s="83" t="s">
        <v>41</v>
      </c>
      <c r="F436" s="83" t="s">
        <v>42</v>
      </c>
      <c r="G436" s="84">
        <v>4839.42</v>
      </c>
      <c r="H436" s="85">
        <v>4</v>
      </c>
      <c r="I436" s="76">
        <v>55.6</v>
      </c>
      <c r="J436" s="85">
        <v>138</v>
      </c>
      <c r="K436" s="84">
        <v>667839.96</v>
      </c>
      <c r="L436" s="86">
        <v>45707</v>
      </c>
      <c r="M436" s="85" t="str">
        <f t="shared" si="12"/>
        <v>At Risk</v>
      </c>
      <c r="N436" s="85" t="str">
        <f t="shared" si="13"/>
        <v>Premium</v>
      </c>
    </row>
    <row r="437" spans="1:14" ht="16.5" x14ac:dyDescent="0.2">
      <c r="A437" s="126" t="s">
        <v>903</v>
      </c>
      <c r="B437" s="78" t="s">
        <v>904</v>
      </c>
      <c r="C437" s="78" t="s">
        <v>48</v>
      </c>
      <c r="D437" s="78" t="s">
        <v>34</v>
      </c>
      <c r="E437" s="78" t="s">
        <v>41</v>
      </c>
      <c r="F437" s="78" t="s">
        <v>1073</v>
      </c>
      <c r="G437" s="79">
        <v>91.84</v>
      </c>
      <c r="H437" s="80">
        <v>35</v>
      </c>
      <c r="I437" s="81">
        <v>88.2</v>
      </c>
      <c r="J437" s="80">
        <v>110</v>
      </c>
      <c r="K437" s="79">
        <v>10102.4</v>
      </c>
      <c r="L437" s="82">
        <v>45688</v>
      </c>
      <c r="M437" s="80" t="str">
        <f t="shared" si="12"/>
        <v>Monitor</v>
      </c>
      <c r="N437" s="80" t="str">
        <f t="shared" si="13"/>
        <v>Medium</v>
      </c>
    </row>
    <row r="438" spans="1:14" ht="16.5" x14ac:dyDescent="0.2">
      <c r="A438" s="72" t="s">
        <v>905</v>
      </c>
      <c r="B438" s="83" t="s">
        <v>906</v>
      </c>
      <c r="C438" s="83" t="s">
        <v>48</v>
      </c>
      <c r="D438" s="83" t="s">
        <v>34</v>
      </c>
      <c r="E438" s="83" t="s">
        <v>58</v>
      </c>
      <c r="F438" s="83" t="s">
        <v>1073</v>
      </c>
      <c r="G438" s="84">
        <v>26.5</v>
      </c>
      <c r="H438" s="85">
        <v>12</v>
      </c>
      <c r="I438" s="76">
        <v>88.1</v>
      </c>
      <c r="J438" s="85">
        <v>71</v>
      </c>
      <c r="K438" s="84">
        <v>1881.5</v>
      </c>
      <c r="L438" s="86">
        <v>46064</v>
      </c>
      <c r="M438" s="85" t="str">
        <f t="shared" si="12"/>
        <v>Monitor</v>
      </c>
      <c r="N438" s="85" t="str">
        <f t="shared" si="13"/>
        <v>Low</v>
      </c>
    </row>
    <row r="439" spans="1:14" ht="16.5" x14ac:dyDescent="0.2">
      <c r="A439" s="126" t="s">
        <v>907</v>
      </c>
      <c r="B439" s="78" t="s">
        <v>908</v>
      </c>
      <c r="C439" s="78" t="s">
        <v>30</v>
      </c>
      <c r="D439" s="78" t="s">
        <v>40</v>
      </c>
      <c r="E439" s="78" t="s">
        <v>45</v>
      </c>
      <c r="F439" s="78" t="s">
        <v>1072</v>
      </c>
      <c r="G439" s="79">
        <v>489.67</v>
      </c>
      <c r="H439" s="80">
        <v>55</v>
      </c>
      <c r="I439" s="81">
        <v>66.5</v>
      </c>
      <c r="J439" s="80">
        <v>179</v>
      </c>
      <c r="K439" s="79">
        <v>87650.93</v>
      </c>
      <c r="L439" s="82">
        <v>46247</v>
      </c>
      <c r="M439" s="80" t="str">
        <f t="shared" si="12"/>
        <v>At Risk</v>
      </c>
      <c r="N439" s="80" t="str">
        <f t="shared" si="13"/>
        <v>High</v>
      </c>
    </row>
    <row r="440" spans="1:14" ht="16.5" x14ac:dyDescent="0.2">
      <c r="A440" s="72" t="s">
        <v>909</v>
      </c>
      <c r="B440" s="83" t="s">
        <v>910</v>
      </c>
      <c r="C440" s="83" t="s">
        <v>48</v>
      </c>
      <c r="D440" s="83" t="s">
        <v>34</v>
      </c>
      <c r="E440" s="83" t="s">
        <v>26</v>
      </c>
      <c r="F440" s="83" t="s">
        <v>1073</v>
      </c>
      <c r="G440" s="84">
        <v>93.97</v>
      </c>
      <c r="H440" s="85">
        <v>41</v>
      </c>
      <c r="I440" s="76">
        <v>82.7</v>
      </c>
      <c r="J440" s="85">
        <v>348</v>
      </c>
      <c r="K440" s="84">
        <v>32701.56</v>
      </c>
      <c r="L440" s="86">
        <v>45908</v>
      </c>
      <c r="M440" s="85" t="str">
        <f t="shared" si="12"/>
        <v>At Risk</v>
      </c>
      <c r="N440" s="85" t="str">
        <f t="shared" si="13"/>
        <v>Medium</v>
      </c>
    </row>
    <row r="441" spans="1:14" ht="16.5" x14ac:dyDescent="0.2">
      <c r="A441" s="126" t="s">
        <v>911</v>
      </c>
      <c r="B441" s="78" t="s">
        <v>912</v>
      </c>
      <c r="C441" s="78" t="s">
        <v>25</v>
      </c>
      <c r="D441" s="78" t="s">
        <v>40</v>
      </c>
      <c r="E441" s="78" t="s">
        <v>41</v>
      </c>
      <c r="F441" s="78" t="s">
        <v>27</v>
      </c>
      <c r="G441" s="79">
        <v>42.98</v>
      </c>
      <c r="H441" s="80">
        <v>12</v>
      </c>
      <c r="I441" s="81">
        <v>78.400000000000006</v>
      </c>
      <c r="J441" s="80">
        <v>412</v>
      </c>
      <c r="K441" s="79">
        <v>17707.759999999998</v>
      </c>
      <c r="L441" s="82">
        <v>46326</v>
      </c>
      <c r="M441" s="80" t="str">
        <f t="shared" si="12"/>
        <v>At Risk</v>
      </c>
      <c r="N441" s="80" t="str">
        <f t="shared" si="13"/>
        <v>Low</v>
      </c>
    </row>
    <row r="442" spans="1:14" ht="16.5" x14ac:dyDescent="0.2">
      <c r="A442" s="72" t="s">
        <v>913</v>
      </c>
      <c r="B442" s="83" t="s">
        <v>914</v>
      </c>
      <c r="C442" s="83" t="s">
        <v>25</v>
      </c>
      <c r="D442" s="83" t="s">
        <v>40</v>
      </c>
      <c r="E442" s="83" t="s">
        <v>58</v>
      </c>
      <c r="F442" s="83" t="s">
        <v>27</v>
      </c>
      <c r="G442" s="84">
        <v>29.25</v>
      </c>
      <c r="H442" s="85">
        <v>57</v>
      </c>
      <c r="I442" s="76">
        <v>64.599999999999994</v>
      </c>
      <c r="J442" s="85">
        <v>179</v>
      </c>
      <c r="K442" s="84">
        <v>5235.75</v>
      </c>
      <c r="L442" s="86">
        <v>45970</v>
      </c>
      <c r="M442" s="85" t="str">
        <f t="shared" si="12"/>
        <v>At Risk</v>
      </c>
      <c r="N442" s="85" t="str">
        <f t="shared" si="13"/>
        <v>Low</v>
      </c>
    </row>
    <row r="443" spans="1:14" ht="16.5" x14ac:dyDescent="0.2">
      <c r="A443" s="126" t="s">
        <v>915</v>
      </c>
      <c r="B443" s="78" t="s">
        <v>916</v>
      </c>
      <c r="C443" s="78" t="s">
        <v>48</v>
      </c>
      <c r="D443" s="78" t="s">
        <v>34</v>
      </c>
      <c r="E443" s="78" t="s">
        <v>51</v>
      </c>
      <c r="F443" s="78" t="s">
        <v>1073</v>
      </c>
      <c r="G443" s="79">
        <v>119.61</v>
      </c>
      <c r="H443" s="80">
        <v>53</v>
      </c>
      <c r="I443" s="81">
        <v>88.8</v>
      </c>
      <c r="J443" s="80">
        <v>342</v>
      </c>
      <c r="K443" s="79">
        <v>40906.620000000003</v>
      </c>
      <c r="L443" s="82">
        <v>45310</v>
      </c>
      <c r="M443" s="80" t="str">
        <f t="shared" si="12"/>
        <v>Monitor</v>
      </c>
      <c r="N443" s="80" t="str">
        <f t="shared" si="13"/>
        <v>Medium</v>
      </c>
    </row>
    <row r="444" spans="1:14" ht="16.5" x14ac:dyDescent="0.2">
      <c r="A444" s="72" t="s">
        <v>917</v>
      </c>
      <c r="B444" s="83" t="s">
        <v>918</v>
      </c>
      <c r="C444" s="83" t="s">
        <v>39</v>
      </c>
      <c r="D444" s="83" t="s">
        <v>17</v>
      </c>
      <c r="E444" s="83" t="s">
        <v>22</v>
      </c>
      <c r="F444" s="83" t="s">
        <v>42</v>
      </c>
      <c r="G444" s="84">
        <v>4806.82</v>
      </c>
      <c r="H444" s="85">
        <v>44</v>
      </c>
      <c r="I444" s="76">
        <v>94.9</v>
      </c>
      <c r="J444" s="85">
        <v>205</v>
      </c>
      <c r="K444" s="84">
        <v>985398.1</v>
      </c>
      <c r="L444" s="86">
        <v>45524</v>
      </c>
      <c r="M444" s="85" t="str">
        <f t="shared" si="12"/>
        <v>OK</v>
      </c>
      <c r="N444" s="85" t="str">
        <f t="shared" si="13"/>
        <v>Premium</v>
      </c>
    </row>
    <row r="445" spans="1:14" ht="16.5" x14ac:dyDescent="0.2">
      <c r="A445" s="126" t="s">
        <v>919</v>
      </c>
      <c r="B445" s="78" t="s">
        <v>920</v>
      </c>
      <c r="C445" s="78" t="s">
        <v>25</v>
      </c>
      <c r="D445" s="78" t="s">
        <v>40</v>
      </c>
      <c r="E445" s="78" t="s">
        <v>26</v>
      </c>
      <c r="F445" s="78" t="s">
        <v>27</v>
      </c>
      <c r="G445" s="79">
        <v>73.08</v>
      </c>
      <c r="H445" s="80">
        <v>53</v>
      </c>
      <c r="I445" s="81">
        <v>89.7</v>
      </c>
      <c r="J445" s="80">
        <v>273</v>
      </c>
      <c r="K445" s="79">
        <v>19950.84</v>
      </c>
      <c r="L445" s="82">
        <v>46333</v>
      </c>
      <c r="M445" s="80" t="str">
        <f t="shared" si="12"/>
        <v>Monitor</v>
      </c>
      <c r="N445" s="80" t="str">
        <f t="shared" si="13"/>
        <v>Medium</v>
      </c>
    </row>
    <row r="446" spans="1:14" ht="16.5" x14ac:dyDescent="0.2">
      <c r="A446" s="72" t="s">
        <v>921</v>
      </c>
      <c r="B446" s="83" t="s">
        <v>922</v>
      </c>
      <c r="C446" s="83" t="s">
        <v>16</v>
      </c>
      <c r="D446" s="83" t="s">
        <v>17</v>
      </c>
      <c r="E446" s="83" t="s">
        <v>22</v>
      </c>
      <c r="F446" s="83" t="s">
        <v>19</v>
      </c>
      <c r="G446" s="84">
        <v>290.23</v>
      </c>
      <c r="H446" s="85">
        <v>6</v>
      </c>
      <c r="I446" s="76">
        <v>97.7</v>
      </c>
      <c r="J446" s="85">
        <v>95</v>
      </c>
      <c r="K446" s="84">
        <v>27571.85</v>
      </c>
      <c r="L446" s="86">
        <v>46384</v>
      </c>
      <c r="M446" s="85" t="str">
        <f t="shared" si="12"/>
        <v>OK</v>
      </c>
      <c r="N446" s="85" t="str">
        <f t="shared" si="13"/>
        <v>High</v>
      </c>
    </row>
    <row r="447" spans="1:14" ht="16.5" x14ac:dyDescent="0.2">
      <c r="A447" s="126" t="s">
        <v>923</v>
      </c>
      <c r="B447" s="78" t="s">
        <v>924</v>
      </c>
      <c r="C447" s="78" t="s">
        <v>48</v>
      </c>
      <c r="D447" s="78" t="s">
        <v>40</v>
      </c>
      <c r="E447" s="78" t="s">
        <v>22</v>
      </c>
      <c r="F447" s="78" t="s">
        <v>1073</v>
      </c>
      <c r="G447" s="79">
        <v>104.47</v>
      </c>
      <c r="H447" s="80">
        <v>28</v>
      </c>
      <c r="I447" s="81">
        <v>92.6</v>
      </c>
      <c r="J447" s="80">
        <v>115</v>
      </c>
      <c r="K447" s="79">
        <v>12014.05</v>
      </c>
      <c r="L447" s="82">
        <v>46183</v>
      </c>
      <c r="M447" s="80" t="str">
        <f t="shared" si="12"/>
        <v>OK</v>
      </c>
      <c r="N447" s="80" t="str">
        <f t="shared" si="13"/>
        <v>Medium</v>
      </c>
    </row>
    <row r="448" spans="1:14" ht="16.5" x14ac:dyDescent="0.2">
      <c r="A448" s="72" t="s">
        <v>925</v>
      </c>
      <c r="B448" s="83" t="s">
        <v>926</v>
      </c>
      <c r="C448" s="83" t="s">
        <v>16</v>
      </c>
      <c r="D448" s="83" t="s">
        <v>40</v>
      </c>
      <c r="E448" s="83" t="s">
        <v>41</v>
      </c>
      <c r="F448" s="83" t="s">
        <v>19</v>
      </c>
      <c r="G448" s="84">
        <v>78.41</v>
      </c>
      <c r="H448" s="85">
        <v>5</v>
      </c>
      <c r="I448" s="76">
        <v>57.4</v>
      </c>
      <c r="J448" s="85">
        <v>416</v>
      </c>
      <c r="K448" s="84">
        <v>32618.560000000001</v>
      </c>
      <c r="L448" s="86">
        <v>45807</v>
      </c>
      <c r="M448" s="85" t="str">
        <f t="shared" si="12"/>
        <v>At Risk</v>
      </c>
      <c r="N448" s="85" t="str">
        <f t="shared" si="13"/>
        <v>Medium</v>
      </c>
    </row>
    <row r="449" spans="1:14" ht="16.5" x14ac:dyDescent="0.2">
      <c r="A449" s="126" t="s">
        <v>927</v>
      </c>
      <c r="B449" s="78" t="s">
        <v>928</v>
      </c>
      <c r="C449" s="78" t="s">
        <v>25</v>
      </c>
      <c r="D449" s="78" t="s">
        <v>34</v>
      </c>
      <c r="E449" s="78" t="s">
        <v>18</v>
      </c>
      <c r="F449" s="78" t="s">
        <v>27</v>
      </c>
      <c r="G449" s="79">
        <v>33.799999999999997</v>
      </c>
      <c r="H449" s="80">
        <v>29</v>
      </c>
      <c r="I449" s="81">
        <v>83.4</v>
      </c>
      <c r="J449" s="80">
        <v>231</v>
      </c>
      <c r="K449" s="79">
        <v>7807.8</v>
      </c>
      <c r="L449" s="82">
        <v>45939</v>
      </c>
      <c r="M449" s="80" t="str">
        <f t="shared" si="12"/>
        <v>At Risk</v>
      </c>
      <c r="N449" s="80" t="str">
        <f t="shared" si="13"/>
        <v>Low</v>
      </c>
    </row>
    <row r="450" spans="1:14" ht="16.5" x14ac:dyDescent="0.2">
      <c r="A450" s="72" t="s">
        <v>929</v>
      </c>
      <c r="B450" s="83" t="s">
        <v>930</v>
      </c>
      <c r="C450" s="83" t="s">
        <v>16</v>
      </c>
      <c r="D450" s="83" t="s">
        <v>40</v>
      </c>
      <c r="E450" s="83" t="s">
        <v>58</v>
      </c>
      <c r="F450" s="83" t="s">
        <v>19</v>
      </c>
      <c r="G450" s="84">
        <v>616.97</v>
      </c>
      <c r="H450" s="85">
        <v>38</v>
      </c>
      <c r="I450" s="76">
        <v>57</v>
      </c>
      <c r="J450" s="85">
        <v>444</v>
      </c>
      <c r="K450" s="84">
        <v>273934.68</v>
      </c>
      <c r="L450" s="86">
        <v>45440</v>
      </c>
      <c r="M450" s="85" t="str">
        <f t="shared" ref="M450:M501" si="14">IF(I450&lt;85,"At Risk",IF(I450&lt;92,"Monitor","OK"))</f>
        <v>At Risk</v>
      </c>
      <c r="N450" s="85" t="str">
        <f t="shared" ref="N450:N501" si="15">IF(G450&lt;50,"Low",IF(G450&lt;250,"Medium",IF(G450&lt;1000,"High","Premium")))</f>
        <v>High</v>
      </c>
    </row>
    <row r="451" spans="1:14" ht="16.5" x14ac:dyDescent="0.2">
      <c r="A451" s="126" t="s">
        <v>931</v>
      </c>
      <c r="B451" s="78" t="s">
        <v>932</v>
      </c>
      <c r="C451" s="78" t="s">
        <v>16</v>
      </c>
      <c r="D451" s="78" t="s">
        <v>17</v>
      </c>
      <c r="E451" s="78" t="s">
        <v>18</v>
      </c>
      <c r="F451" s="78" t="s">
        <v>19</v>
      </c>
      <c r="G451" s="79">
        <v>504.92</v>
      </c>
      <c r="H451" s="80">
        <v>19</v>
      </c>
      <c r="I451" s="81">
        <v>89.4</v>
      </c>
      <c r="J451" s="80">
        <v>234</v>
      </c>
      <c r="K451" s="79">
        <v>118151.28</v>
      </c>
      <c r="L451" s="82">
        <v>46073</v>
      </c>
      <c r="M451" s="80" t="str">
        <f t="shared" si="14"/>
        <v>Monitor</v>
      </c>
      <c r="N451" s="80" t="str">
        <f t="shared" si="15"/>
        <v>High</v>
      </c>
    </row>
    <row r="452" spans="1:14" ht="16.5" x14ac:dyDescent="0.2">
      <c r="A452" s="72" t="s">
        <v>933</v>
      </c>
      <c r="B452" s="83" t="s">
        <v>934</v>
      </c>
      <c r="C452" s="83" t="s">
        <v>39</v>
      </c>
      <c r="D452" s="83" t="s">
        <v>17</v>
      </c>
      <c r="E452" s="83" t="s">
        <v>22</v>
      </c>
      <c r="F452" s="83" t="s">
        <v>42</v>
      </c>
      <c r="G452" s="84">
        <v>940.99</v>
      </c>
      <c r="H452" s="85">
        <v>26</v>
      </c>
      <c r="I452" s="76">
        <v>90.9</v>
      </c>
      <c r="J452" s="85">
        <v>444</v>
      </c>
      <c r="K452" s="84">
        <v>417799.56</v>
      </c>
      <c r="L452" s="86">
        <v>45896</v>
      </c>
      <c r="M452" s="85" t="str">
        <f t="shared" si="14"/>
        <v>Monitor</v>
      </c>
      <c r="N452" s="85" t="str">
        <f t="shared" si="15"/>
        <v>High</v>
      </c>
    </row>
    <row r="453" spans="1:14" ht="16.5" x14ac:dyDescent="0.2">
      <c r="A453" s="126" t="s">
        <v>935</v>
      </c>
      <c r="B453" s="78" t="s">
        <v>936</v>
      </c>
      <c r="C453" s="78" t="s">
        <v>30</v>
      </c>
      <c r="D453" s="78" t="s">
        <v>34</v>
      </c>
      <c r="E453" s="78" t="s">
        <v>26</v>
      </c>
      <c r="F453" s="78" t="s">
        <v>1072</v>
      </c>
      <c r="G453" s="79">
        <v>1196.3399999999999</v>
      </c>
      <c r="H453" s="80">
        <v>36</v>
      </c>
      <c r="I453" s="81">
        <v>61.4</v>
      </c>
      <c r="J453" s="80">
        <v>31</v>
      </c>
      <c r="K453" s="79">
        <v>37086.54</v>
      </c>
      <c r="L453" s="82">
        <v>45302</v>
      </c>
      <c r="M453" s="80" t="str">
        <f t="shared" si="14"/>
        <v>At Risk</v>
      </c>
      <c r="N453" s="80" t="str">
        <f t="shared" si="15"/>
        <v>Premium</v>
      </c>
    </row>
    <row r="454" spans="1:14" ht="16.5" x14ac:dyDescent="0.2">
      <c r="A454" s="72" t="s">
        <v>937</v>
      </c>
      <c r="B454" s="83" t="s">
        <v>938</v>
      </c>
      <c r="C454" s="83" t="s">
        <v>39</v>
      </c>
      <c r="D454" s="83" t="s">
        <v>40</v>
      </c>
      <c r="E454" s="83" t="s">
        <v>58</v>
      </c>
      <c r="F454" s="83" t="s">
        <v>42</v>
      </c>
      <c r="G454" s="84">
        <v>1732.05</v>
      </c>
      <c r="H454" s="85">
        <v>48</v>
      </c>
      <c r="I454" s="76">
        <v>88.4</v>
      </c>
      <c r="J454" s="85">
        <v>381</v>
      </c>
      <c r="K454" s="84">
        <v>659911.05000000005</v>
      </c>
      <c r="L454" s="86">
        <v>45996</v>
      </c>
      <c r="M454" s="85" t="str">
        <f t="shared" si="14"/>
        <v>Monitor</v>
      </c>
      <c r="N454" s="85" t="str">
        <f t="shared" si="15"/>
        <v>Premium</v>
      </c>
    </row>
    <row r="455" spans="1:14" ht="16.5" x14ac:dyDescent="0.2">
      <c r="A455" s="126" t="s">
        <v>939</v>
      </c>
      <c r="B455" s="78" t="s">
        <v>940</v>
      </c>
      <c r="C455" s="78" t="s">
        <v>25</v>
      </c>
      <c r="D455" s="78" t="s">
        <v>17</v>
      </c>
      <c r="E455" s="78" t="s">
        <v>45</v>
      </c>
      <c r="F455" s="78" t="s">
        <v>27</v>
      </c>
      <c r="G455" s="79">
        <v>19.22</v>
      </c>
      <c r="H455" s="80">
        <v>54</v>
      </c>
      <c r="I455" s="81">
        <v>66.400000000000006</v>
      </c>
      <c r="J455" s="80">
        <v>68</v>
      </c>
      <c r="K455" s="79">
        <v>1306.96</v>
      </c>
      <c r="L455" s="82">
        <v>45663</v>
      </c>
      <c r="M455" s="80" t="str">
        <f t="shared" si="14"/>
        <v>At Risk</v>
      </c>
      <c r="N455" s="80" t="str">
        <f t="shared" si="15"/>
        <v>Low</v>
      </c>
    </row>
    <row r="456" spans="1:14" ht="16.5" x14ac:dyDescent="0.2">
      <c r="A456" s="72" t="s">
        <v>941</v>
      </c>
      <c r="B456" s="83" t="s">
        <v>942</v>
      </c>
      <c r="C456" s="83" t="s">
        <v>25</v>
      </c>
      <c r="D456" s="83" t="s">
        <v>40</v>
      </c>
      <c r="E456" s="83" t="s">
        <v>58</v>
      </c>
      <c r="F456" s="83" t="s">
        <v>27</v>
      </c>
      <c r="G456" s="84">
        <v>24.67</v>
      </c>
      <c r="H456" s="85">
        <v>5</v>
      </c>
      <c r="I456" s="76">
        <v>66.3</v>
      </c>
      <c r="J456" s="85">
        <v>111</v>
      </c>
      <c r="K456" s="84">
        <v>2738.37</v>
      </c>
      <c r="L456" s="86">
        <v>46289</v>
      </c>
      <c r="M456" s="85" t="str">
        <f t="shared" si="14"/>
        <v>At Risk</v>
      </c>
      <c r="N456" s="85" t="str">
        <f t="shared" si="15"/>
        <v>Low</v>
      </c>
    </row>
    <row r="457" spans="1:14" ht="16.5" x14ac:dyDescent="0.2">
      <c r="A457" s="126" t="s">
        <v>943</v>
      </c>
      <c r="B457" s="78" t="s">
        <v>944</v>
      </c>
      <c r="C457" s="78" t="s">
        <v>48</v>
      </c>
      <c r="D457" s="78" t="s">
        <v>40</v>
      </c>
      <c r="E457" s="78" t="s">
        <v>22</v>
      </c>
      <c r="F457" s="78" t="s">
        <v>1073</v>
      </c>
      <c r="G457" s="79">
        <v>16.510000000000002</v>
      </c>
      <c r="H457" s="80">
        <v>40</v>
      </c>
      <c r="I457" s="81">
        <v>58.1</v>
      </c>
      <c r="J457" s="80">
        <v>109</v>
      </c>
      <c r="K457" s="79">
        <v>1799.59</v>
      </c>
      <c r="L457" s="82">
        <v>45942</v>
      </c>
      <c r="M457" s="80" t="str">
        <f t="shared" si="14"/>
        <v>At Risk</v>
      </c>
      <c r="N457" s="80" t="str">
        <f t="shared" si="15"/>
        <v>Low</v>
      </c>
    </row>
    <row r="458" spans="1:14" ht="16.5" x14ac:dyDescent="0.2">
      <c r="A458" s="72" t="s">
        <v>945</v>
      </c>
      <c r="B458" s="83" t="s">
        <v>946</v>
      </c>
      <c r="C458" s="83" t="s">
        <v>30</v>
      </c>
      <c r="D458" s="83" t="s">
        <v>40</v>
      </c>
      <c r="E458" s="83" t="s">
        <v>18</v>
      </c>
      <c r="F458" s="83" t="s">
        <v>1072</v>
      </c>
      <c r="G458" s="84">
        <v>1448.22</v>
      </c>
      <c r="H458" s="85">
        <v>10</v>
      </c>
      <c r="I458" s="76">
        <v>80.400000000000006</v>
      </c>
      <c r="J458" s="85">
        <v>196</v>
      </c>
      <c r="K458" s="84">
        <v>283851.12</v>
      </c>
      <c r="L458" s="86">
        <v>45939</v>
      </c>
      <c r="M458" s="85" t="str">
        <f t="shared" si="14"/>
        <v>At Risk</v>
      </c>
      <c r="N458" s="85" t="str">
        <f t="shared" si="15"/>
        <v>Premium</v>
      </c>
    </row>
    <row r="459" spans="1:14" ht="16.5" x14ac:dyDescent="0.2">
      <c r="A459" s="126" t="s">
        <v>947</v>
      </c>
      <c r="B459" s="78" t="s">
        <v>948</v>
      </c>
      <c r="C459" s="78" t="s">
        <v>16</v>
      </c>
      <c r="D459" s="78" t="s">
        <v>40</v>
      </c>
      <c r="E459" s="78" t="s">
        <v>22</v>
      </c>
      <c r="F459" s="78" t="s">
        <v>19</v>
      </c>
      <c r="G459" s="79">
        <v>584.15</v>
      </c>
      <c r="H459" s="80">
        <v>42</v>
      </c>
      <c r="I459" s="81">
        <v>74.599999999999994</v>
      </c>
      <c r="J459" s="80">
        <v>440</v>
      </c>
      <c r="K459" s="79">
        <v>257026</v>
      </c>
      <c r="L459" s="82">
        <v>46028</v>
      </c>
      <c r="M459" s="80" t="str">
        <f t="shared" si="14"/>
        <v>At Risk</v>
      </c>
      <c r="N459" s="80" t="str">
        <f t="shared" si="15"/>
        <v>High</v>
      </c>
    </row>
    <row r="460" spans="1:14" ht="16.5" x14ac:dyDescent="0.2">
      <c r="A460" s="72" t="s">
        <v>949</v>
      </c>
      <c r="B460" s="83" t="s">
        <v>950</v>
      </c>
      <c r="C460" s="83" t="s">
        <v>39</v>
      </c>
      <c r="D460" s="83" t="s">
        <v>40</v>
      </c>
      <c r="E460" s="83" t="s">
        <v>41</v>
      </c>
      <c r="F460" s="83" t="s">
        <v>42</v>
      </c>
      <c r="G460" s="84">
        <v>3941.4</v>
      </c>
      <c r="H460" s="85">
        <v>32</v>
      </c>
      <c r="I460" s="76">
        <v>79.8</v>
      </c>
      <c r="J460" s="85">
        <v>99</v>
      </c>
      <c r="K460" s="84">
        <v>390198.6</v>
      </c>
      <c r="L460" s="86">
        <v>45459</v>
      </c>
      <c r="M460" s="85" t="str">
        <f t="shared" si="14"/>
        <v>At Risk</v>
      </c>
      <c r="N460" s="85" t="str">
        <f t="shared" si="15"/>
        <v>Premium</v>
      </c>
    </row>
    <row r="461" spans="1:14" ht="16.5" x14ac:dyDescent="0.2">
      <c r="A461" s="126" t="s">
        <v>951</v>
      </c>
      <c r="B461" s="78" t="s">
        <v>952</v>
      </c>
      <c r="C461" s="78" t="s">
        <v>25</v>
      </c>
      <c r="D461" s="78" t="s">
        <v>17</v>
      </c>
      <c r="E461" s="78" t="s">
        <v>58</v>
      </c>
      <c r="F461" s="78" t="s">
        <v>27</v>
      </c>
      <c r="G461" s="79">
        <v>58.74</v>
      </c>
      <c r="H461" s="80">
        <v>58</v>
      </c>
      <c r="I461" s="81">
        <v>55.8</v>
      </c>
      <c r="J461" s="80">
        <v>269</v>
      </c>
      <c r="K461" s="79">
        <v>15801.06</v>
      </c>
      <c r="L461" s="82">
        <v>45355</v>
      </c>
      <c r="M461" s="80" t="str">
        <f t="shared" si="14"/>
        <v>At Risk</v>
      </c>
      <c r="N461" s="80" t="str">
        <f t="shared" si="15"/>
        <v>Medium</v>
      </c>
    </row>
    <row r="462" spans="1:14" ht="16.5" x14ac:dyDescent="0.2">
      <c r="A462" s="72" t="s">
        <v>953</v>
      </c>
      <c r="B462" s="83" t="s">
        <v>954</v>
      </c>
      <c r="C462" s="83" t="s">
        <v>39</v>
      </c>
      <c r="D462" s="83" t="s">
        <v>34</v>
      </c>
      <c r="E462" s="83" t="s">
        <v>22</v>
      </c>
      <c r="F462" s="83" t="s">
        <v>42</v>
      </c>
      <c r="G462" s="84">
        <v>4559.63</v>
      </c>
      <c r="H462" s="85">
        <v>36</v>
      </c>
      <c r="I462" s="76">
        <v>66.7</v>
      </c>
      <c r="J462" s="85">
        <v>467</v>
      </c>
      <c r="K462" s="84">
        <v>2129347.21</v>
      </c>
      <c r="L462" s="86">
        <v>46258</v>
      </c>
      <c r="M462" s="85" t="str">
        <f t="shared" si="14"/>
        <v>At Risk</v>
      </c>
      <c r="N462" s="85" t="str">
        <f t="shared" si="15"/>
        <v>Premium</v>
      </c>
    </row>
    <row r="463" spans="1:14" ht="16.5" x14ac:dyDescent="0.2">
      <c r="A463" s="126" t="s">
        <v>955</v>
      </c>
      <c r="B463" s="78" t="s">
        <v>956</v>
      </c>
      <c r="C463" s="78" t="s">
        <v>39</v>
      </c>
      <c r="D463" s="78" t="s">
        <v>17</v>
      </c>
      <c r="E463" s="78" t="s">
        <v>18</v>
      </c>
      <c r="F463" s="78" t="s">
        <v>42</v>
      </c>
      <c r="G463" s="79">
        <v>929.24</v>
      </c>
      <c r="H463" s="80">
        <v>33</v>
      </c>
      <c r="I463" s="81">
        <v>78</v>
      </c>
      <c r="J463" s="80">
        <v>213</v>
      </c>
      <c r="K463" s="79">
        <v>197928.12</v>
      </c>
      <c r="L463" s="82">
        <v>46037</v>
      </c>
      <c r="M463" s="80" t="str">
        <f t="shared" si="14"/>
        <v>At Risk</v>
      </c>
      <c r="N463" s="80" t="str">
        <f t="shared" si="15"/>
        <v>High</v>
      </c>
    </row>
    <row r="464" spans="1:14" ht="16.5" x14ac:dyDescent="0.2">
      <c r="A464" s="72" t="s">
        <v>957</v>
      </c>
      <c r="B464" s="83" t="s">
        <v>958</v>
      </c>
      <c r="C464" s="83" t="s">
        <v>48</v>
      </c>
      <c r="D464" s="83" t="s">
        <v>34</v>
      </c>
      <c r="E464" s="83" t="s">
        <v>45</v>
      </c>
      <c r="F464" s="83" t="s">
        <v>1073</v>
      </c>
      <c r="G464" s="84">
        <v>92.08</v>
      </c>
      <c r="H464" s="85">
        <v>9</v>
      </c>
      <c r="I464" s="76">
        <v>75.099999999999994</v>
      </c>
      <c r="J464" s="85">
        <v>101</v>
      </c>
      <c r="K464" s="84">
        <v>9300.08</v>
      </c>
      <c r="L464" s="86">
        <v>45591</v>
      </c>
      <c r="M464" s="85" t="str">
        <f t="shared" si="14"/>
        <v>At Risk</v>
      </c>
      <c r="N464" s="85" t="str">
        <f t="shared" si="15"/>
        <v>Medium</v>
      </c>
    </row>
    <row r="465" spans="1:14" ht="16.5" x14ac:dyDescent="0.2">
      <c r="A465" s="126" t="s">
        <v>959</v>
      </c>
      <c r="B465" s="78" t="s">
        <v>960</v>
      </c>
      <c r="C465" s="78" t="s">
        <v>16</v>
      </c>
      <c r="D465" s="78" t="s">
        <v>17</v>
      </c>
      <c r="E465" s="78" t="s">
        <v>51</v>
      </c>
      <c r="F465" s="78" t="s">
        <v>19</v>
      </c>
      <c r="G465" s="79">
        <v>223.81</v>
      </c>
      <c r="H465" s="80">
        <v>17</v>
      </c>
      <c r="I465" s="81">
        <v>71.599999999999994</v>
      </c>
      <c r="J465" s="80">
        <v>31</v>
      </c>
      <c r="K465" s="79">
        <v>6938.11</v>
      </c>
      <c r="L465" s="82">
        <v>45715</v>
      </c>
      <c r="M465" s="80" t="str">
        <f t="shared" si="14"/>
        <v>At Risk</v>
      </c>
      <c r="N465" s="80" t="str">
        <f t="shared" si="15"/>
        <v>Medium</v>
      </c>
    </row>
    <row r="466" spans="1:14" ht="16.5" x14ac:dyDescent="0.2">
      <c r="A466" s="72" t="s">
        <v>961</v>
      </c>
      <c r="B466" s="83" t="s">
        <v>962</v>
      </c>
      <c r="C466" s="83" t="s">
        <v>39</v>
      </c>
      <c r="D466" s="83" t="s">
        <v>40</v>
      </c>
      <c r="E466" s="83" t="s">
        <v>51</v>
      </c>
      <c r="F466" s="83" t="s">
        <v>42</v>
      </c>
      <c r="G466" s="84">
        <v>4443.29</v>
      </c>
      <c r="H466" s="85">
        <v>3</v>
      </c>
      <c r="I466" s="76">
        <v>99.1</v>
      </c>
      <c r="J466" s="85">
        <v>175</v>
      </c>
      <c r="K466" s="84">
        <v>777575.75</v>
      </c>
      <c r="L466" s="86">
        <v>45503</v>
      </c>
      <c r="M466" s="85" t="str">
        <f t="shared" si="14"/>
        <v>OK</v>
      </c>
      <c r="N466" s="85" t="str">
        <f t="shared" si="15"/>
        <v>Premium</v>
      </c>
    </row>
    <row r="467" spans="1:14" ht="16.5" x14ac:dyDescent="0.2">
      <c r="A467" s="126" t="s">
        <v>963</v>
      </c>
      <c r="B467" s="78" t="s">
        <v>964</v>
      </c>
      <c r="C467" s="78" t="s">
        <v>30</v>
      </c>
      <c r="D467" s="78" t="s">
        <v>40</v>
      </c>
      <c r="E467" s="78" t="s">
        <v>45</v>
      </c>
      <c r="F467" s="78" t="s">
        <v>1072</v>
      </c>
      <c r="G467" s="79">
        <v>877.99</v>
      </c>
      <c r="H467" s="80">
        <v>25</v>
      </c>
      <c r="I467" s="81">
        <v>71.400000000000006</v>
      </c>
      <c r="J467" s="80">
        <v>344</v>
      </c>
      <c r="K467" s="79">
        <v>302028.56</v>
      </c>
      <c r="L467" s="82">
        <v>45451</v>
      </c>
      <c r="M467" s="80" t="str">
        <f t="shared" si="14"/>
        <v>At Risk</v>
      </c>
      <c r="N467" s="80" t="str">
        <f t="shared" si="15"/>
        <v>High</v>
      </c>
    </row>
    <row r="468" spans="1:14" ht="16.5" x14ac:dyDescent="0.2">
      <c r="A468" s="72" t="s">
        <v>965</v>
      </c>
      <c r="B468" s="83" t="s">
        <v>966</v>
      </c>
      <c r="C468" s="83" t="s">
        <v>39</v>
      </c>
      <c r="D468" s="83" t="s">
        <v>34</v>
      </c>
      <c r="E468" s="83" t="s">
        <v>22</v>
      </c>
      <c r="F468" s="83" t="s">
        <v>42</v>
      </c>
      <c r="G468" s="84">
        <v>2726.95</v>
      </c>
      <c r="H468" s="85">
        <v>23</v>
      </c>
      <c r="I468" s="76">
        <v>91.8</v>
      </c>
      <c r="J468" s="85">
        <v>186</v>
      </c>
      <c r="K468" s="84">
        <v>507212.7</v>
      </c>
      <c r="L468" s="86">
        <v>46289</v>
      </c>
      <c r="M468" s="85" t="str">
        <f t="shared" si="14"/>
        <v>Monitor</v>
      </c>
      <c r="N468" s="85" t="str">
        <f t="shared" si="15"/>
        <v>Premium</v>
      </c>
    </row>
    <row r="469" spans="1:14" ht="16.5" x14ac:dyDescent="0.2">
      <c r="A469" s="126" t="s">
        <v>967</v>
      </c>
      <c r="B469" s="78" t="s">
        <v>968</v>
      </c>
      <c r="C469" s="78" t="s">
        <v>16</v>
      </c>
      <c r="D469" s="78" t="s">
        <v>40</v>
      </c>
      <c r="E469" s="78" t="s">
        <v>45</v>
      </c>
      <c r="F469" s="78" t="s">
        <v>19</v>
      </c>
      <c r="G469" s="79">
        <v>379.92</v>
      </c>
      <c r="H469" s="80">
        <v>15</v>
      </c>
      <c r="I469" s="81">
        <v>58.5</v>
      </c>
      <c r="J469" s="80">
        <v>339</v>
      </c>
      <c r="K469" s="79">
        <v>128792.88</v>
      </c>
      <c r="L469" s="82">
        <v>45867</v>
      </c>
      <c r="M469" s="80" t="str">
        <f t="shared" si="14"/>
        <v>At Risk</v>
      </c>
      <c r="N469" s="80" t="str">
        <f t="shared" si="15"/>
        <v>High</v>
      </c>
    </row>
    <row r="470" spans="1:14" ht="16.5" x14ac:dyDescent="0.2">
      <c r="A470" s="72" t="s">
        <v>969</v>
      </c>
      <c r="B470" s="83" t="s">
        <v>970</v>
      </c>
      <c r="C470" s="83" t="s">
        <v>48</v>
      </c>
      <c r="D470" s="83" t="s">
        <v>17</v>
      </c>
      <c r="E470" s="83" t="s">
        <v>58</v>
      </c>
      <c r="F470" s="83" t="s">
        <v>1073</v>
      </c>
      <c r="G470" s="84">
        <v>81.03</v>
      </c>
      <c r="H470" s="85">
        <v>27</v>
      </c>
      <c r="I470" s="76">
        <v>91.5</v>
      </c>
      <c r="J470" s="85">
        <v>378</v>
      </c>
      <c r="K470" s="84">
        <v>30629.34</v>
      </c>
      <c r="L470" s="86">
        <v>45524</v>
      </c>
      <c r="M470" s="85" t="str">
        <f t="shared" si="14"/>
        <v>Monitor</v>
      </c>
      <c r="N470" s="85" t="str">
        <f t="shared" si="15"/>
        <v>Medium</v>
      </c>
    </row>
    <row r="471" spans="1:14" ht="16.5" x14ac:dyDescent="0.2">
      <c r="A471" s="126" t="s">
        <v>971</v>
      </c>
      <c r="B471" s="78" t="s">
        <v>972</v>
      </c>
      <c r="C471" s="78" t="s">
        <v>39</v>
      </c>
      <c r="D471" s="78" t="s">
        <v>17</v>
      </c>
      <c r="E471" s="78" t="s">
        <v>45</v>
      </c>
      <c r="F471" s="78" t="s">
        <v>42</v>
      </c>
      <c r="G471" s="79">
        <v>3342.12</v>
      </c>
      <c r="H471" s="80">
        <v>27</v>
      </c>
      <c r="I471" s="81">
        <v>56</v>
      </c>
      <c r="J471" s="80">
        <v>32</v>
      </c>
      <c r="K471" s="79">
        <v>106947.84</v>
      </c>
      <c r="L471" s="82">
        <v>45553</v>
      </c>
      <c r="M471" s="80" t="str">
        <f t="shared" si="14"/>
        <v>At Risk</v>
      </c>
      <c r="N471" s="80" t="str">
        <f t="shared" si="15"/>
        <v>Premium</v>
      </c>
    </row>
    <row r="472" spans="1:14" ht="16.5" x14ac:dyDescent="0.2">
      <c r="A472" s="72" t="s">
        <v>973</v>
      </c>
      <c r="B472" s="83" t="s">
        <v>974</v>
      </c>
      <c r="C472" s="83" t="s">
        <v>48</v>
      </c>
      <c r="D472" s="83" t="s">
        <v>17</v>
      </c>
      <c r="E472" s="83" t="s">
        <v>26</v>
      </c>
      <c r="F472" s="83" t="s">
        <v>1073</v>
      </c>
      <c r="G472" s="84">
        <v>107.44</v>
      </c>
      <c r="H472" s="85">
        <v>10</v>
      </c>
      <c r="I472" s="76">
        <v>57.5</v>
      </c>
      <c r="J472" s="85">
        <v>142</v>
      </c>
      <c r="K472" s="84">
        <v>15256.48</v>
      </c>
      <c r="L472" s="86">
        <v>45660</v>
      </c>
      <c r="M472" s="85" t="str">
        <f t="shared" si="14"/>
        <v>At Risk</v>
      </c>
      <c r="N472" s="85" t="str">
        <f t="shared" si="15"/>
        <v>Medium</v>
      </c>
    </row>
    <row r="473" spans="1:14" ht="16.5" x14ac:dyDescent="0.2">
      <c r="A473" s="126" t="s">
        <v>975</v>
      </c>
      <c r="B473" s="78" t="s">
        <v>976</v>
      </c>
      <c r="C473" s="78" t="s">
        <v>25</v>
      </c>
      <c r="D473" s="78" t="s">
        <v>34</v>
      </c>
      <c r="E473" s="78" t="s">
        <v>26</v>
      </c>
      <c r="F473" s="78" t="s">
        <v>27</v>
      </c>
      <c r="G473" s="79">
        <v>70.52</v>
      </c>
      <c r="H473" s="80">
        <v>47</v>
      </c>
      <c r="I473" s="81">
        <v>84.8</v>
      </c>
      <c r="J473" s="80">
        <v>155</v>
      </c>
      <c r="K473" s="79">
        <v>10930.6</v>
      </c>
      <c r="L473" s="82">
        <v>45467</v>
      </c>
      <c r="M473" s="80" t="str">
        <f t="shared" si="14"/>
        <v>At Risk</v>
      </c>
      <c r="N473" s="80" t="str">
        <f t="shared" si="15"/>
        <v>Medium</v>
      </c>
    </row>
    <row r="474" spans="1:14" ht="16.5" x14ac:dyDescent="0.2">
      <c r="A474" s="72" t="s">
        <v>977</v>
      </c>
      <c r="B474" s="83" t="s">
        <v>978</v>
      </c>
      <c r="C474" s="83" t="s">
        <v>25</v>
      </c>
      <c r="D474" s="83" t="s">
        <v>34</v>
      </c>
      <c r="E474" s="83" t="s">
        <v>51</v>
      </c>
      <c r="F474" s="83" t="s">
        <v>27</v>
      </c>
      <c r="G474" s="84">
        <v>15.3</v>
      </c>
      <c r="H474" s="85">
        <v>54</v>
      </c>
      <c r="I474" s="76">
        <v>73.5</v>
      </c>
      <c r="J474" s="85">
        <v>83</v>
      </c>
      <c r="K474" s="84">
        <v>1269.9000000000001</v>
      </c>
      <c r="L474" s="86">
        <v>45664</v>
      </c>
      <c r="M474" s="85" t="str">
        <f t="shared" si="14"/>
        <v>At Risk</v>
      </c>
      <c r="N474" s="85" t="str">
        <f t="shared" si="15"/>
        <v>Low</v>
      </c>
    </row>
    <row r="475" spans="1:14" ht="16.5" x14ac:dyDescent="0.2">
      <c r="A475" s="126" t="s">
        <v>979</v>
      </c>
      <c r="B475" s="78" t="s">
        <v>980</v>
      </c>
      <c r="C475" s="78" t="s">
        <v>30</v>
      </c>
      <c r="D475" s="78" t="s">
        <v>17</v>
      </c>
      <c r="E475" s="78" t="s">
        <v>41</v>
      </c>
      <c r="F475" s="78" t="s">
        <v>1072</v>
      </c>
      <c r="G475" s="79">
        <v>1860.23</v>
      </c>
      <c r="H475" s="80">
        <v>39</v>
      </c>
      <c r="I475" s="81">
        <v>81.599999999999994</v>
      </c>
      <c r="J475" s="80">
        <v>127</v>
      </c>
      <c r="K475" s="79">
        <v>236249.21</v>
      </c>
      <c r="L475" s="82">
        <v>46066</v>
      </c>
      <c r="M475" s="80" t="str">
        <f t="shared" si="14"/>
        <v>At Risk</v>
      </c>
      <c r="N475" s="80" t="str">
        <f t="shared" si="15"/>
        <v>Premium</v>
      </c>
    </row>
    <row r="476" spans="1:14" ht="16.5" x14ac:dyDescent="0.2">
      <c r="A476" s="72" t="s">
        <v>981</v>
      </c>
      <c r="B476" s="83" t="s">
        <v>982</v>
      </c>
      <c r="C476" s="83" t="s">
        <v>16</v>
      </c>
      <c r="D476" s="83" t="s">
        <v>17</v>
      </c>
      <c r="E476" s="83" t="s">
        <v>31</v>
      </c>
      <c r="F476" s="83" t="s">
        <v>19</v>
      </c>
      <c r="G476" s="84">
        <v>669.89</v>
      </c>
      <c r="H476" s="85">
        <v>39</v>
      </c>
      <c r="I476" s="76">
        <v>59.3</v>
      </c>
      <c r="J476" s="85">
        <v>253</v>
      </c>
      <c r="K476" s="84">
        <v>169482.17</v>
      </c>
      <c r="L476" s="86">
        <v>45371</v>
      </c>
      <c r="M476" s="85" t="str">
        <f t="shared" si="14"/>
        <v>At Risk</v>
      </c>
      <c r="N476" s="85" t="str">
        <f t="shared" si="15"/>
        <v>High</v>
      </c>
    </row>
    <row r="477" spans="1:14" ht="16.5" x14ac:dyDescent="0.2">
      <c r="A477" s="126" t="s">
        <v>983</v>
      </c>
      <c r="B477" s="78" t="s">
        <v>984</v>
      </c>
      <c r="C477" s="78" t="s">
        <v>16</v>
      </c>
      <c r="D477" s="78" t="s">
        <v>17</v>
      </c>
      <c r="E477" s="78" t="s">
        <v>45</v>
      </c>
      <c r="F477" s="78" t="s">
        <v>19</v>
      </c>
      <c r="G477" s="79">
        <v>726.49</v>
      </c>
      <c r="H477" s="80">
        <v>35</v>
      </c>
      <c r="I477" s="81">
        <v>92.2</v>
      </c>
      <c r="J477" s="80">
        <v>469</v>
      </c>
      <c r="K477" s="79">
        <v>340723.81</v>
      </c>
      <c r="L477" s="82">
        <v>46175</v>
      </c>
      <c r="M477" s="80" t="str">
        <f t="shared" si="14"/>
        <v>OK</v>
      </c>
      <c r="N477" s="80" t="str">
        <f t="shared" si="15"/>
        <v>High</v>
      </c>
    </row>
    <row r="478" spans="1:14" ht="16.5" x14ac:dyDescent="0.2">
      <c r="A478" s="72" t="s">
        <v>985</v>
      </c>
      <c r="B478" s="83" t="s">
        <v>986</v>
      </c>
      <c r="C478" s="83" t="s">
        <v>30</v>
      </c>
      <c r="D478" s="83" t="s">
        <v>34</v>
      </c>
      <c r="E478" s="83" t="s">
        <v>31</v>
      </c>
      <c r="F478" s="83" t="s">
        <v>1072</v>
      </c>
      <c r="G478" s="84">
        <v>613.08000000000004</v>
      </c>
      <c r="H478" s="85">
        <v>52</v>
      </c>
      <c r="I478" s="76">
        <v>76.7</v>
      </c>
      <c r="J478" s="85">
        <v>403</v>
      </c>
      <c r="K478" s="84">
        <v>247071.24</v>
      </c>
      <c r="L478" s="86">
        <v>46072</v>
      </c>
      <c r="M478" s="85" t="str">
        <f t="shared" si="14"/>
        <v>At Risk</v>
      </c>
      <c r="N478" s="85" t="str">
        <f t="shared" si="15"/>
        <v>High</v>
      </c>
    </row>
    <row r="479" spans="1:14" ht="16.5" x14ac:dyDescent="0.2">
      <c r="A479" s="126" t="s">
        <v>987</v>
      </c>
      <c r="B479" s="78" t="s">
        <v>988</v>
      </c>
      <c r="C479" s="78" t="s">
        <v>25</v>
      </c>
      <c r="D479" s="78" t="s">
        <v>17</v>
      </c>
      <c r="E479" s="78" t="s">
        <v>45</v>
      </c>
      <c r="F479" s="78" t="s">
        <v>27</v>
      </c>
      <c r="G479" s="79">
        <v>21.85</v>
      </c>
      <c r="H479" s="80">
        <v>50</v>
      </c>
      <c r="I479" s="81">
        <v>65.5</v>
      </c>
      <c r="J479" s="80">
        <v>449</v>
      </c>
      <c r="K479" s="79">
        <v>9810.65</v>
      </c>
      <c r="L479" s="82">
        <v>45463</v>
      </c>
      <c r="M479" s="80" t="str">
        <f t="shared" si="14"/>
        <v>At Risk</v>
      </c>
      <c r="N479" s="80" t="str">
        <f t="shared" si="15"/>
        <v>Low</v>
      </c>
    </row>
    <row r="480" spans="1:14" ht="16.5" x14ac:dyDescent="0.2">
      <c r="A480" s="72" t="s">
        <v>989</v>
      </c>
      <c r="B480" s="83" t="s">
        <v>990</v>
      </c>
      <c r="C480" s="83" t="s">
        <v>25</v>
      </c>
      <c r="D480" s="83" t="s">
        <v>40</v>
      </c>
      <c r="E480" s="83" t="s">
        <v>22</v>
      </c>
      <c r="F480" s="83" t="s">
        <v>27</v>
      </c>
      <c r="G480" s="84">
        <v>2.4300000000000002</v>
      </c>
      <c r="H480" s="85">
        <v>48</v>
      </c>
      <c r="I480" s="76">
        <v>90.5</v>
      </c>
      <c r="J480" s="85">
        <v>305</v>
      </c>
      <c r="K480" s="84">
        <v>741.15</v>
      </c>
      <c r="L480" s="86">
        <v>46362</v>
      </c>
      <c r="M480" s="85" t="str">
        <f t="shared" si="14"/>
        <v>Monitor</v>
      </c>
      <c r="N480" s="85" t="str">
        <f t="shared" si="15"/>
        <v>Low</v>
      </c>
    </row>
    <row r="481" spans="1:14" ht="16.5" x14ac:dyDescent="0.2">
      <c r="A481" s="126" t="s">
        <v>991</v>
      </c>
      <c r="B481" s="78" t="s">
        <v>992</v>
      </c>
      <c r="C481" s="78" t="s">
        <v>16</v>
      </c>
      <c r="D481" s="78" t="s">
        <v>40</v>
      </c>
      <c r="E481" s="78" t="s">
        <v>22</v>
      </c>
      <c r="F481" s="78" t="s">
        <v>19</v>
      </c>
      <c r="G481" s="79">
        <v>565.83000000000004</v>
      </c>
      <c r="H481" s="80">
        <v>21</v>
      </c>
      <c r="I481" s="81">
        <v>73.400000000000006</v>
      </c>
      <c r="J481" s="80">
        <v>64</v>
      </c>
      <c r="K481" s="79">
        <v>36213.120000000003</v>
      </c>
      <c r="L481" s="82">
        <v>45608</v>
      </c>
      <c r="M481" s="80" t="str">
        <f t="shared" si="14"/>
        <v>At Risk</v>
      </c>
      <c r="N481" s="80" t="str">
        <f t="shared" si="15"/>
        <v>High</v>
      </c>
    </row>
    <row r="482" spans="1:14" ht="16.5" x14ac:dyDescent="0.2">
      <c r="A482" s="72" t="s">
        <v>993</v>
      </c>
      <c r="B482" s="83" t="s">
        <v>994</v>
      </c>
      <c r="C482" s="83" t="s">
        <v>30</v>
      </c>
      <c r="D482" s="83" t="s">
        <v>17</v>
      </c>
      <c r="E482" s="83" t="s">
        <v>31</v>
      </c>
      <c r="F482" s="83" t="s">
        <v>1072</v>
      </c>
      <c r="G482" s="84">
        <v>1216.4100000000001</v>
      </c>
      <c r="H482" s="85">
        <v>40</v>
      </c>
      <c r="I482" s="76">
        <v>67.400000000000006</v>
      </c>
      <c r="J482" s="85">
        <v>358</v>
      </c>
      <c r="K482" s="84">
        <v>435474.78</v>
      </c>
      <c r="L482" s="86">
        <v>46105</v>
      </c>
      <c r="M482" s="85" t="str">
        <f t="shared" si="14"/>
        <v>At Risk</v>
      </c>
      <c r="N482" s="85" t="str">
        <f t="shared" si="15"/>
        <v>Premium</v>
      </c>
    </row>
    <row r="483" spans="1:14" ht="16.5" x14ac:dyDescent="0.2">
      <c r="A483" s="126" t="s">
        <v>995</v>
      </c>
      <c r="B483" s="78" t="s">
        <v>996</v>
      </c>
      <c r="C483" s="78" t="s">
        <v>25</v>
      </c>
      <c r="D483" s="78" t="s">
        <v>34</v>
      </c>
      <c r="E483" s="78" t="s">
        <v>51</v>
      </c>
      <c r="F483" s="78" t="s">
        <v>27</v>
      </c>
      <c r="G483" s="79">
        <v>15.94</v>
      </c>
      <c r="H483" s="80">
        <v>36</v>
      </c>
      <c r="I483" s="81">
        <v>80</v>
      </c>
      <c r="J483" s="80">
        <v>139</v>
      </c>
      <c r="K483" s="79">
        <v>2215.66</v>
      </c>
      <c r="L483" s="82">
        <v>45920</v>
      </c>
      <c r="M483" s="80" t="str">
        <f t="shared" si="14"/>
        <v>At Risk</v>
      </c>
      <c r="N483" s="80" t="str">
        <f t="shared" si="15"/>
        <v>Low</v>
      </c>
    </row>
    <row r="484" spans="1:14" ht="16.5" x14ac:dyDescent="0.2">
      <c r="A484" s="72" t="s">
        <v>997</v>
      </c>
      <c r="B484" s="83" t="s">
        <v>998</v>
      </c>
      <c r="C484" s="83" t="s">
        <v>39</v>
      </c>
      <c r="D484" s="83" t="s">
        <v>40</v>
      </c>
      <c r="E484" s="83" t="s">
        <v>58</v>
      </c>
      <c r="F484" s="83" t="s">
        <v>42</v>
      </c>
      <c r="G484" s="84">
        <v>3814.73</v>
      </c>
      <c r="H484" s="85">
        <v>29</v>
      </c>
      <c r="I484" s="76">
        <v>90.2</v>
      </c>
      <c r="J484" s="85">
        <v>496</v>
      </c>
      <c r="K484" s="84">
        <v>1892106.08</v>
      </c>
      <c r="L484" s="86">
        <v>45623</v>
      </c>
      <c r="M484" s="85" t="str">
        <f t="shared" si="14"/>
        <v>Monitor</v>
      </c>
      <c r="N484" s="85" t="str">
        <f t="shared" si="15"/>
        <v>Premium</v>
      </c>
    </row>
    <row r="485" spans="1:14" ht="16.5" x14ac:dyDescent="0.2">
      <c r="A485" s="126" t="s">
        <v>999</v>
      </c>
      <c r="B485" s="78" t="s">
        <v>1000</v>
      </c>
      <c r="C485" s="78" t="s">
        <v>25</v>
      </c>
      <c r="D485" s="78" t="s">
        <v>40</v>
      </c>
      <c r="E485" s="78" t="s">
        <v>41</v>
      </c>
      <c r="F485" s="78" t="s">
        <v>27</v>
      </c>
      <c r="G485" s="79">
        <v>64.47</v>
      </c>
      <c r="H485" s="80">
        <v>40</v>
      </c>
      <c r="I485" s="81">
        <v>86.4</v>
      </c>
      <c r="J485" s="80">
        <v>371</v>
      </c>
      <c r="K485" s="79">
        <v>23918.37</v>
      </c>
      <c r="L485" s="82">
        <v>45398</v>
      </c>
      <c r="M485" s="80" t="str">
        <f t="shared" si="14"/>
        <v>Monitor</v>
      </c>
      <c r="N485" s="80" t="str">
        <f t="shared" si="15"/>
        <v>Medium</v>
      </c>
    </row>
    <row r="486" spans="1:14" ht="16.5" x14ac:dyDescent="0.2">
      <c r="A486" s="72" t="s">
        <v>1001</v>
      </c>
      <c r="B486" s="83" t="s">
        <v>1002</v>
      </c>
      <c r="C486" s="83" t="s">
        <v>16</v>
      </c>
      <c r="D486" s="83" t="s">
        <v>34</v>
      </c>
      <c r="E486" s="83" t="s">
        <v>45</v>
      </c>
      <c r="F486" s="83" t="s">
        <v>19</v>
      </c>
      <c r="G486" s="84">
        <v>403.75</v>
      </c>
      <c r="H486" s="85">
        <v>39</v>
      </c>
      <c r="I486" s="76">
        <v>74.599999999999994</v>
      </c>
      <c r="J486" s="85">
        <v>42</v>
      </c>
      <c r="K486" s="84">
        <v>16957.5</v>
      </c>
      <c r="L486" s="86">
        <v>45830</v>
      </c>
      <c r="M486" s="85" t="str">
        <f t="shared" si="14"/>
        <v>At Risk</v>
      </c>
      <c r="N486" s="85" t="str">
        <f t="shared" si="15"/>
        <v>High</v>
      </c>
    </row>
    <row r="487" spans="1:14" ht="16.5" x14ac:dyDescent="0.2">
      <c r="A487" s="126" t="s">
        <v>1003</v>
      </c>
      <c r="B487" s="78" t="s">
        <v>1004</v>
      </c>
      <c r="C487" s="78" t="s">
        <v>16</v>
      </c>
      <c r="D487" s="78" t="s">
        <v>40</v>
      </c>
      <c r="E487" s="78" t="s">
        <v>31</v>
      </c>
      <c r="F487" s="78" t="s">
        <v>19</v>
      </c>
      <c r="G487" s="79">
        <v>748.01</v>
      </c>
      <c r="H487" s="80">
        <v>26</v>
      </c>
      <c r="I487" s="81">
        <v>82.6</v>
      </c>
      <c r="J487" s="80">
        <v>276</v>
      </c>
      <c r="K487" s="79">
        <v>206450.76</v>
      </c>
      <c r="L487" s="82">
        <v>45878</v>
      </c>
      <c r="M487" s="80" t="str">
        <f t="shared" si="14"/>
        <v>At Risk</v>
      </c>
      <c r="N487" s="80" t="str">
        <f t="shared" si="15"/>
        <v>High</v>
      </c>
    </row>
    <row r="488" spans="1:14" ht="16.5" x14ac:dyDescent="0.2">
      <c r="A488" s="72" t="s">
        <v>1005</v>
      </c>
      <c r="B488" s="83" t="s">
        <v>1006</v>
      </c>
      <c r="C488" s="83" t="s">
        <v>48</v>
      </c>
      <c r="D488" s="83" t="s">
        <v>40</v>
      </c>
      <c r="E488" s="83" t="s">
        <v>51</v>
      </c>
      <c r="F488" s="83" t="s">
        <v>1073</v>
      </c>
      <c r="G488" s="84">
        <v>6.23</v>
      </c>
      <c r="H488" s="85">
        <v>55</v>
      </c>
      <c r="I488" s="76">
        <v>84.6</v>
      </c>
      <c r="J488" s="85">
        <v>421</v>
      </c>
      <c r="K488" s="84">
        <v>2622.83</v>
      </c>
      <c r="L488" s="86">
        <v>46353</v>
      </c>
      <c r="M488" s="85" t="str">
        <f t="shared" si="14"/>
        <v>At Risk</v>
      </c>
      <c r="N488" s="85" t="str">
        <f t="shared" si="15"/>
        <v>Low</v>
      </c>
    </row>
    <row r="489" spans="1:14" ht="16.5" x14ac:dyDescent="0.2">
      <c r="A489" s="126" t="s">
        <v>1007</v>
      </c>
      <c r="B489" s="78" t="s">
        <v>1008</v>
      </c>
      <c r="C489" s="78" t="s">
        <v>16</v>
      </c>
      <c r="D489" s="78" t="s">
        <v>34</v>
      </c>
      <c r="E489" s="78" t="s">
        <v>22</v>
      </c>
      <c r="F489" s="78" t="s">
        <v>19</v>
      </c>
      <c r="G489" s="79">
        <v>511.39</v>
      </c>
      <c r="H489" s="80">
        <v>44</v>
      </c>
      <c r="I489" s="81">
        <v>56.6</v>
      </c>
      <c r="J489" s="80">
        <v>132</v>
      </c>
      <c r="K489" s="79">
        <v>67503.48</v>
      </c>
      <c r="L489" s="82">
        <v>45292</v>
      </c>
      <c r="M489" s="80" t="str">
        <f t="shared" si="14"/>
        <v>At Risk</v>
      </c>
      <c r="N489" s="80" t="str">
        <f t="shared" si="15"/>
        <v>High</v>
      </c>
    </row>
    <row r="490" spans="1:14" ht="16.5" x14ac:dyDescent="0.2">
      <c r="A490" s="72" t="s">
        <v>1009</v>
      </c>
      <c r="B490" s="83" t="s">
        <v>1010</v>
      </c>
      <c r="C490" s="83" t="s">
        <v>30</v>
      </c>
      <c r="D490" s="83" t="s">
        <v>34</v>
      </c>
      <c r="E490" s="83" t="s">
        <v>41</v>
      </c>
      <c r="F490" s="83" t="s">
        <v>1072</v>
      </c>
      <c r="G490" s="84">
        <v>1405.39</v>
      </c>
      <c r="H490" s="85">
        <v>26</v>
      </c>
      <c r="I490" s="76">
        <v>81.400000000000006</v>
      </c>
      <c r="J490" s="85">
        <v>275</v>
      </c>
      <c r="K490" s="84">
        <v>386482.25</v>
      </c>
      <c r="L490" s="86">
        <v>45323</v>
      </c>
      <c r="M490" s="85" t="str">
        <f t="shared" si="14"/>
        <v>At Risk</v>
      </c>
      <c r="N490" s="85" t="str">
        <f t="shared" si="15"/>
        <v>Premium</v>
      </c>
    </row>
    <row r="491" spans="1:14" ht="16.5" x14ac:dyDescent="0.2">
      <c r="A491" s="126" t="s">
        <v>1011</v>
      </c>
      <c r="B491" s="78" t="s">
        <v>1012</v>
      </c>
      <c r="C491" s="78" t="s">
        <v>25</v>
      </c>
      <c r="D491" s="78" t="s">
        <v>17</v>
      </c>
      <c r="E491" s="78" t="s">
        <v>41</v>
      </c>
      <c r="F491" s="78" t="s">
        <v>27</v>
      </c>
      <c r="G491" s="79">
        <v>29.1</v>
      </c>
      <c r="H491" s="80">
        <v>53</v>
      </c>
      <c r="I491" s="81">
        <v>67.400000000000006</v>
      </c>
      <c r="J491" s="80">
        <v>320</v>
      </c>
      <c r="K491" s="79">
        <v>9312</v>
      </c>
      <c r="L491" s="82">
        <v>45690</v>
      </c>
      <c r="M491" s="80" t="str">
        <f t="shared" si="14"/>
        <v>At Risk</v>
      </c>
      <c r="N491" s="80" t="str">
        <f t="shared" si="15"/>
        <v>Low</v>
      </c>
    </row>
    <row r="492" spans="1:14" ht="16.5" x14ac:dyDescent="0.2">
      <c r="A492" s="72" t="s">
        <v>1013</v>
      </c>
      <c r="B492" s="83" t="s">
        <v>1014</v>
      </c>
      <c r="C492" s="83" t="s">
        <v>25</v>
      </c>
      <c r="D492" s="83" t="s">
        <v>17</v>
      </c>
      <c r="E492" s="83" t="s">
        <v>45</v>
      </c>
      <c r="F492" s="83" t="s">
        <v>27</v>
      </c>
      <c r="G492" s="84">
        <v>33.76</v>
      </c>
      <c r="H492" s="85">
        <v>7</v>
      </c>
      <c r="I492" s="76">
        <v>80.099999999999994</v>
      </c>
      <c r="J492" s="85">
        <v>267</v>
      </c>
      <c r="K492" s="84">
        <v>9013.92</v>
      </c>
      <c r="L492" s="86">
        <v>45894</v>
      </c>
      <c r="M492" s="85" t="str">
        <f t="shared" si="14"/>
        <v>At Risk</v>
      </c>
      <c r="N492" s="85" t="str">
        <f t="shared" si="15"/>
        <v>Low</v>
      </c>
    </row>
    <row r="493" spans="1:14" ht="16.5" x14ac:dyDescent="0.2">
      <c r="A493" s="126" t="s">
        <v>1015</v>
      </c>
      <c r="B493" s="78" t="s">
        <v>1016</v>
      </c>
      <c r="C493" s="78" t="s">
        <v>25</v>
      </c>
      <c r="D493" s="78" t="s">
        <v>34</v>
      </c>
      <c r="E493" s="78" t="s">
        <v>18</v>
      </c>
      <c r="F493" s="78" t="s">
        <v>27</v>
      </c>
      <c r="G493" s="79">
        <v>56.15</v>
      </c>
      <c r="H493" s="80">
        <v>25</v>
      </c>
      <c r="I493" s="81">
        <v>80.3</v>
      </c>
      <c r="J493" s="80">
        <v>404</v>
      </c>
      <c r="K493" s="79">
        <v>22684.6</v>
      </c>
      <c r="L493" s="82">
        <v>45790</v>
      </c>
      <c r="M493" s="80" t="str">
        <f t="shared" si="14"/>
        <v>At Risk</v>
      </c>
      <c r="N493" s="80" t="str">
        <f t="shared" si="15"/>
        <v>Medium</v>
      </c>
    </row>
    <row r="494" spans="1:14" ht="16.5" x14ac:dyDescent="0.2">
      <c r="A494" s="72" t="s">
        <v>1017</v>
      </c>
      <c r="B494" s="83" t="s">
        <v>1018</v>
      </c>
      <c r="C494" s="83" t="s">
        <v>39</v>
      </c>
      <c r="D494" s="83" t="s">
        <v>34</v>
      </c>
      <c r="E494" s="83" t="s">
        <v>26</v>
      </c>
      <c r="F494" s="83" t="s">
        <v>42</v>
      </c>
      <c r="G494" s="84">
        <v>2565.2600000000002</v>
      </c>
      <c r="H494" s="85">
        <v>17</v>
      </c>
      <c r="I494" s="76">
        <v>58</v>
      </c>
      <c r="J494" s="85">
        <v>334</v>
      </c>
      <c r="K494" s="84">
        <v>856796.84</v>
      </c>
      <c r="L494" s="86">
        <v>45743</v>
      </c>
      <c r="M494" s="85" t="str">
        <f t="shared" si="14"/>
        <v>At Risk</v>
      </c>
      <c r="N494" s="85" t="str">
        <f t="shared" si="15"/>
        <v>Premium</v>
      </c>
    </row>
    <row r="495" spans="1:14" ht="16.5" x14ac:dyDescent="0.2">
      <c r="A495" s="126" t="s">
        <v>1019</v>
      </c>
      <c r="B495" s="78" t="s">
        <v>1020</v>
      </c>
      <c r="C495" s="78" t="s">
        <v>39</v>
      </c>
      <c r="D495" s="78" t="s">
        <v>34</v>
      </c>
      <c r="E495" s="78" t="s">
        <v>26</v>
      </c>
      <c r="F495" s="78" t="s">
        <v>42</v>
      </c>
      <c r="G495" s="79">
        <v>3593.85</v>
      </c>
      <c r="H495" s="80">
        <v>17</v>
      </c>
      <c r="I495" s="81">
        <v>66.2</v>
      </c>
      <c r="J495" s="80">
        <v>57</v>
      </c>
      <c r="K495" s="79">
        <v>204849.45</v>
      </c>
      <c r="L495" s="82">
        <v>46109</v>
      </c>
      <c r="M495" s="80" t="str">
        <f t="shared" si="14"/>
        <v>At Risk</v>
      </c>
      <c r="N495" s="80" t="str">
        <f t="shared" si="15"/>
        <v>Premium</v>
      </c>
    </row>
    <row r="496" spans="1:14" ht="16.5" x14ac:dyDescent="0.2">
      <c r="A496" s="72" t="s">
        <v>1021</v>
      </c>
      <c r="B496" s="83" t="s">
        <v>1022</v>
      </c>
      <c r="C496" s="83" t="s">
        <v>25</v>
      </c>
      <c r="D496" s="83" t="s">
        <v>34</v>
      </c>
      <c r="E496" s="83" t="s">
        <v>51</v>
      </c>
      <c r="F496" s="83" t="s">
        <v>27</v>
      </c>
      <c r="G496" s="84">
        <v>26.48</v>
      </c>
      <c r="H496" s="85">
        <v>14</v>
      </c>
      <c r="I496" s="76">
        <v>95.2</v>
      </c>
      <c r="J496" s="85">
        <v>147</v>
      </c>
      <c r="K496" s="84">
        <v>3892.56</v>
      </c>
      <c r="L496" s="86">
        <v>45666</v>
      </c>
      <c r="M496" s="85" t="str">
        <f t="shared" si="14"/>
        <v>OK</v>
      </c>
      <c r="N496" s="85" t="str">
        <f t="shared" si="15"/>
        <v>Low</v>
      </c>
    </row>
    <row r="497" spans="1:14" ht="16.5" x14ac:dyDescent="0.2">
      <c r="A497" s="126" t="s">
        <v>1023</v>
      </c>
      <c r="B497" s="78" t="s">
        <v>1024</v>
      </c>
      <c r="C497" s="78" t="s">
        <v>48</v>
      </c>
      <c r="D497" s="78" t="s">
        <v>17</v>
      </c>
      <c r="E497" s="78" t="s">
        <v>22</v>
      </c>
      <c r="F497" s="78" t="s">
        <v>1073</v>
      </c>
      <c r="G497" s="79">
        <v>105.37</v>
      </c>
      <c r="H497" s="80">
        <v>14</v>
      </c>
      <c r="I497" s="81">
        <v>65.3</v>
      </c>
      <c r="J497" s="80">
        <v>437</v>
      </c>
      <c r="K497" s="79">
        <v>46046.69</v>
      </c>
      <c r="L497" s="82">
        <v>45803</v>
      </c>
      <c r="M497" s="80" t="str">
        <f t="shared" si="14"/>
        <v>At Risk</v>
      </c>
      <c r="N497" s="80" t="str">
        <f t="shared" si="15"/>
        <v>Medium</v>
      </c>
    </row>
    <row r="498" spans="1:14" ht="16.5" x14ac:dyDescent="0.2">
      <c r="A498" s="72" t="s">
        <v>1025</v>
      </c>
      <c r="B498" s="83" t="s">
        <v>1026</v>
      </c>
      <c r="C498" s="83" t="s">
        <v>48</v>
      </c>
      <c r="D498" s="83" t="s">
        <v>34</v>
      </c>
      <c r="E498" s="83" t="s">
        <v>58</v>
      </c>
      <c r="F498" s="83" t="s">
        <v>1073</v>
      </c>
      <c r="G498" s="84">
        <v>110.82</v>
      </c>
      <c r="H498" s="85">
        <v>44</v>
      </c>
      <c r="I498" s="76">
        <v>98</v>
      </c>
      <c r="J498" s="85">
        <v>262</v>
      </c>
      <c r="K498" s="84">
        <v>29034.84</v>
      </c>
      <c r="L498" s="86">
        <v>45305</v>
      </c>
      <c r="M498" s="85" t="str">
        <f t="shared" si="14"/>
        <v>OK</v>
      </c>
      <c r="N498" s="85" t="str">
        <f t="shared" si="15"/>
        <v>Medium</v>
      </c>
    </row>
    <row r="499" spans="1:14" ht="16.5" x14ac:dyDescent="0.2">
      <c r="A499" s="126" t="s">
        <v>1027</v>
      </c>
      <c r="B499" s="78" t="s">
        <v>1028</v>
      </c>
      <c r="C499" s="78" t="s">
        <v>39</v>
      </c>
      <c r="D499" s="78" t="s">
        <v>40</v>
      </c>
      <c r="E499" s="78" t="s">
        <v>41</v>
      </c>
      <c r="F499" s="78" t="s">
        <v>42</v>
      </c>
      <c r="G499" s="79">
        <v>2614</v>
      </c>
      <c r="H499" s="80">
        <v>57</v>
      </c>
      <c r="I499" s="81">
        <v>95.4</v>
      </c>
      <c r="J499" s="80">
        <v>454</v>
      </c>
      <c r="K499" s="79">
        <v>1186756</v>
      </c>
      <c r="L499" s="82">
        <v>45854</v>
      </c>
      <c r="M499" s="80" t="str">
        <f t="shared" si="14"/>
        <v>OK</v>
      </c>
      <c r="N499" s="80" t="str">
        <f t="shared" si="15"/>
        <v>Premium</v>
      </c>
    </row>
    <row r="500" spans="1:14" ht="16.5" x14ac:dyDescent="0.2">
      <c r="A500" s="72" t="s">
        <v>1029</v>
      </c>
      <c r="B500" s="83" t="s">
        <v>1030</v>
      </c>
      <c r="C500" s="83" t="s">
        <v>25</v>
      </c>
      <c r="D500" s="83" t="s">
        <v>17</v>
      </c>
      <c r="E500" s="83" t="s">
        <v>22</v>
      </c>
      <c r="F500" s="83" t="s">
        <v>27</v>
      </c>
      <c r="G500" s="84">
        <v>60.51</v>
      </c>
      <c r="H500" s="85">
        <v>9</v>
      </c>
      <c r="I500" s="76">
        <v>57.4</v>
      </c>
      <c r="J500" s="85">
        <v>419</v>
      </c>
      <c r="K500" s="84">
        <v>25353.69</v>
      </c>
      <c r="L500" s="86">
        <v>46158</v>
      </c>
      <c r="M500" s="85" t="str">
        <f t="shared" si="14"/>
        <v>At Risk</v>
      </c>
      <c r="N500" s="85" t="str">
        <f t="shared" si="15"/>
        <v>Medium</v>
      </c>
    </row>
    <row r="501" spans="1:14" ht="16.5" x14ac:dyDescent="0.2">
      <c r="A501" s="126" t="s">
        <v>1031</v>
      </c>
      <c r="B501" s="78" t="s">
        <v>1032</v>
      </c>
      <c r="C501" s="78" t="s">
        <v>16</v>
      </c>
      <c r="D501" s="78" t="s">
        <v>40</v>
      </c>
      <c r="E501" s="78" t="s">
        <v>31</v>
      </c>
      <c r="F501" s="78" t="s">
        <v>19</v>
      </c>
      <c r="G501" s="79">
        <v>695.3</v>
      </c>
      <c r="H501" s="80">
        <v>50</v>
      </c>
      <c r="I501" s="81">
        <v>62.9</v>
      </c>
      <c r="J501" s="80">
        <v>71</v>
      </c>
      <c r="K501" s="79">
        <v>49366.3</v>
      </c>
      <c r="L501" s="82">
        <v>46353</v>
      </c>
      <c r="M501" s="80" t="str">
        <f t="shared" si="14"/>
        <v>At Risk</v>
      </c>
      <c r="N501" s="80" t="str">
        <f t="shared" si="15"/>
        <v>High</v>
      </c>
    </row>
  </sheetData>
  <conditionalFormatting sqref="G2:G501">
    <cfRule type="colorScale" priority="4">
      <colorScale>
        <cfvo type="min"/>
        <cfvo type="percentile" val="50"/>
        <cfvo type="max"/>
        <color rgb="FF63BE7B"/>
        <color rgb="FFFFEB84"/>
        <color rgb="FFF8696B"/>
      </colorScale>
    </cfRule>
  </conditionalFormatting>
  <conditionalFormatting sqref="I2:I501">
    <cfRule type="dataBar" priority="5">
      <dataBar>
        <cfvo type="min"/>
        <cfvo type="max"/>
        <color rgb="FF2E75B6"/>
      </dataBar>
    </cfRule>
  </conditionalFormatting>
  <conditionalFormatting sqref="M2:M501">
    <cfRule type="cellIs" dxfId="42" priority="1" operator="equal">
      <formula>"At Risk"</formula>
    </cfRule>
    <cfRule type="cellIs" dxfId="41" priority="2" operator="equal">
      <formula>"Monitor"</formula>
    </cfRule>
    <cfRule type="cellIs" dxfId="40" priority="3" operator="equal">
      <formula>"OK"</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6"/>
  <sheetViews>
    <sheetView zoomScale="115" zoomScaleNormal="115" workbookViewId="0">
      <pane ySplit="3" topLeftCell="A10" activePane="bottomLeft" state="frozen"/>
      <selection pane="bottomLeft" activeCell="H38" sqref="H38"/>
    </sheetView>
  </sheetViews>
  <sheetFormatPr defaultRowHeight="14.25" x14ac:dyDescent="0.2"/>
  <cols>
    <col min="1" max="1" width="17.875" customWidth="1"/>
    <col min="2" max="2" width="13.875" customWidth="1"/>
    <col min="3" max="3" width="17.875" customWidth="1"/>
    <col min="4" max="4" width="14" customWidth="1"/>
    <col min="5" max="5" width="20.25" customWidth="1"/>
    <col min="6" max="6" width="14.625" customWidth="1"/>
    <col min="7" max="7" width="13.625" customWidth="1"/>
    <col min="8" max="8" width="21.875" customWidth="1"/>
  </cols>
  <sheetData>
    <row r="1" spans="1:8" ht="32.1" customHeight="1" x14ac:dyDescent="0.5">
      <c r="A1" s="107" t="s">
        <v>1071</v>
      </c>
      <c r="B1" s="23"/>
      <c r="C1" s="23"/>
      <c r="D1" s="23"/>
      <c r="E1" s="23"/>
      <c r="F1" s="23"/>
      <c r="G1" s="23"/>
      <c r="H1" s="23"/>
    </row>
    <row r="2" spans="1:8" ht="20.25" x14ac:dyDescent="0.5">
      <c r="A2" s="108"/>
      <c r="B2" s="13"/>
      <c r="C2" s="13"/>
      <c r="D2" s="13"/>
      <c r="E2" s="13"/>
      <c r="F2" s="13"/>
      <c r="G2" s="13"/>
      <c r="H2" s="13"/>
    </row>
    <row r="3" spans="1:8" ht="24" customHeight="1" x14ac:dyDescent="0.2">
      <c r="A3" s="109" t="s">
        <v>2</v>
      </c>
      <c r="B3" s="110" t="s">
        <v>3</v>
      </c>
      <c r="C3" s="110" t="s">
        <v>1033</v>
      </c>
      <c r="D3" s="110" t="s">
        <v>1034</v>
      </c>
      <c r="E3" s="110" t="s">
        <v>1035</v>
      </c>
      <c r="F3" s="110" t="s">
        <v>1036</v>
      </c>
      <c r="G3" s="110" t="s">
        <v>1037</v>
      </c>
      <c r="H3" s="111" t="s">
        <v>1038</v>
      </c>
    </row>
    <row r="4" spans="1:8" ht="16.5" x14ac:dyDescent="0.2">
      <c r="A4" s="87" t="s">
        <v>16</v>
      </c>
      <c r="B4" s="88" t="s">
        <v>17</v>
      </c>
      <c r="C4" s="89">
        <f>IFERROR(AVERAGEIFS('1_Raw_Data'!G:G,'1_Raw_Data'!C:C,A4,'1_Raw_Data'!D:D,B4),"-")</f>
        <v>436.69499999999994</v>
      </c>
      <c r="D4" s="69">
        <f>IFERROR(AVERAGEIFS('1_Raw_Data'!H:H,'1_Raw_Data'!C:C,A4,'1_Raw_Data'!D:D,B4),"-")</f>
        <v>27.09375</v>
      </c>
      <c r="E4" s="70">
        <f>IFERROR(AVERAGEIFS('1_Raw_Data'!I:I,'1_Raw_Data'!C:C,A4,'1_Raw_Data'!D:D,B4),"-")</f>
        <v>77.603124999999991</v>
      </c>
      <c r="F4" s="71">
        <f>COUNTIFS('1_Raw_Data'!C:C,A4,'1_Raw_Data'!D:D,B4)</f>
        <v>32</v>
      </c>
      <c r="G4" s="71">
        <f>COUNTIFS('1_Raw_Data'!C:C,A4,'1_Raw_Data'!D:D,B4,'1_Raw_Data'!M:M,"At Risk")</f>
        <v>20</v>
      </c>
      <c r="H4" s="90">
        <f>IFERROR(SUMIFS('1_Raw_Data'!K:K,'1_Raw_Data'!C:C,A4,'1_Raw_Data'!D:D,B4),0)</f>
        <v>3990359.6999999997</v>
      </c>
    </row>
    <row r="5" spans="1:8" ht="16.5" x14ac:dyDescent="0.2">
      <c r="A5" s="91" t="s">
        <v>16</v>
      </c>
      <c r="B5" s="92" t="s">
        <v>40</v>
      </c>
      <c r="C5" s="93">
        <f>IFERROR(AVERAGEIFS('1_Raw_Data'!G:G,'1_Raw_Data'!C:C,A5,'1_Raw_Data'!D:D,B5),"-")</f>
        <v>459.23060606060596</v>
      </c>
      <c r="D5" s="94">
        <f>IFERROR(AVERAGEIFS('1_Raw_Data'!H:H,'1_Raw_Data'!C:C,A5,'1_Raw_Data'!D:D,B5),"-")</f>
        <v>32.696969696969695</v>
      </c>
      <c r="E5" s="95">
        <f>IFERROR(AVERAGEIFS('1_Raw_Data'!I:I,'1_Raw_Data'!C:C,A5,'1_Raw_Data'!D:D,B5),"-")</f>
        <v>76.606060606060609</v>
      </c>
      <c r="F5" s="96">
        <f>COUNTIFS('1_Raw_Data'!C:C,A5,'1_Raw_Data'!D:D,B5)</f>
        <v>33</v>
      </c>
      <c r="G5" s="96">
        <f>COUNTIFS('1_Raw_Data'!C:C,A5,'1_Raw_Data'!D:D,B5,'1_Raw_Data'!M:M,"At Risk")</f>
        <v>24</v>
      </c>
      <c r="H5" s="97">
        <f>IFERROR(SUMIFS('1_Raw_Data'!K:K,'1_Raw_Data'!C:C,A5,'1_Raw_Data'!D:D,B5),0)</f>
        <v>3288986.33</v>
      </c>
    </row>
    <row r="6" spans="1:8" ht="16.5" x14ac:dyDescent="0.2">
      <c r="A6" s="98" t="s">
        <v>16</v>
      </c>
      <c r="B6" s="88" t="s">
        <v>34</v>
      </c>
      <c r="C6" s="89">
        <f>IFERROR(AVERAGEIFS('1_Raw_Data'!G:G,'1_Raw_Data'!C:C,A6,'1_Raw_Data'!D:D,B6),"-")</f>
        <v>429.88074074074069</v>
      </c>
      <c r="D6" s="69">
        <f>IFERROR(AVERAGEIFS('1_Raw_Data'!H:H,'1_Raw_Data'!C:C,A6,'1_Raw_Data'!D:D,B6),"-")</f>
        <v>26.111111111111111</v>
      </c>
      <c r="E6" s="70">
        <f>IFERROR(AVERAGEIFS('1_Raw_Data'!I:I,'1_Raw_Data'!C:C,A6,'1_Raw_Data'!D:D,B6),"-")</f>
        <v>77.959259259259269</v>
      </c>
      <c r="F6" s="71">
        <f>COUNTIFS('1_Raw_Data'!C:C,A6,'1_Raw_Data'!D:D,B6)</f>
        <v>27</v>
      </c>
      <c r="G6" s="71">
        <f>COUNTIFS('1_Raw_Data'!C:C,A6,'1_Raw_Data'!D:D,B6,'1_Raw_Data'!M:M,"At Risk")</f>
        <v>20</v>
      </c>
      <c r="H6" s="90">
        <f>IFERROR(SUMIFS('1_Raw_Data'!K:K,'1_Raw_Data'!C:C,A6,'1_Raw_Data'!D:D,B6),0)</f>
        <v>2924145.8499999996</v>
      </c>
    </row>
    <row r="7" spans="1:8" ht="16.5" x14ac:dyDescent="0.2">
      <c r="A7" s="99" t="s">
        <v>48</v>
      </c>
      <c r="B7" s="92" t="s">
        <v>17</v>
      </c>
      <c r="C7" s="93">
        <f>IFERROR(AVERAGEIFS('1_Raw_Data'!G:G,'1_Raw_Data'!C:C,A7,'1_Raw_Data'!D:D,B7),"-")</f>
        <v>82.918636363636367</v>
      </c>
      <c r="D7" s="94">
        <f>IFERROR(AVERAGEIFS('1_Raw_Data'!H:H,'1_Raw_Data'!C:C,A7,'1_Raw_Data'!D:D,B7),"-")</f>
        <v>29.727272727272727</v>
      </c>
      <c r="E7" s="95">
        <f>IFERROR(AVERAGEIFS('1_Raw_Data'!I:I,'1_Raw_Data'!C:C,A7,'1_Raw_Data'!D:D,B7),"-")</f>
        <v>75.881818181818161</v>
      </c>
      <c r="F7" s="96">
        <f>COUNTIFS('1_Raw_Data'!C:C,A7,'1_Raw_Data'!D:D,B7)</f>
        <v>22</v>
      </c>
      <c r="G7" s="96">
        <f>COUNTIFS('1_Raw_Data'!C:C,A7,'1_Raw_Data'!D:D,B7,'1_Raw_Data'!M:M,"At Risk")</f>
        <v>16</v>
      </c>
      <c r="H7" s="97">
        <f>IFERROR(SUMIFS('1_Raw_Data'!K:K,'1_Raw_Data'!C:C,A7,'1_Raw_Data'!D:D,B7),0)</f>
        <v>354836.11</v>
      </c>
    </row>
    <row r="8" spans="1:8" ht="16.5" x14ac:dyDescent="0.2">
      <c r="A8" s="98" t="s">
        <v>48</v>
      </c>
      <c r="B8" s="88" t="s">
        <v>40</v>
      </c>
      <c r="C8" s="89">
        <f>IFERROR(AVERAGEIFS('1_Raw_Data'!G:G,'1_Raw_Data'!C:C,A8,'1_Raw_Data'!D:D,B8),"-")</f>
        <v>53.614358974358964</v>
      </c>
      <c r="D8" s="69">
        <f>IFERROR(AVERAGEIFS('1_Raw_Data'!H:H,'1_Raw_Data'!C:C,A8,'1_Raw_Data'!D:D,B8),"-")</f>
        <v>36.179487179487182</v>
      </c>
      <c r="E8" s="70">
        <f>IFERROR(AVERAGEIFS('1_Raw_Data'!I:I,'1_Raw_Data'!C:C,A8,'1_Raw_Data'!D:D,B8),"-")</f>
        <v>75.287179487179486</v>
      </c>
      <c r="F8" s="71">
        <f>COUNTIFS('1_Raw_Data'!C:C,A8,'1_Raw_Data'!D:D,B8)</f>
        <v>39</v>
      </c>
      <c r="G8" s="71">
        <f>COUNTIFS('1_Raw_Data'!C:C,A8,'1_Raw_Data'!D:D,B8,'1_Raw_Data'!M:M,"At Risk")</f>
        <v>29</v>
      </c>
      <c r="H8" s="90">
        <f>IFERROR(SUMIFS('1_Raw_Data'!K:K,'1_Raw_Data'!C:C,A8,'1_Raw_Data'!D:D,B8),0)</f>
        <v>582348.03</v>
      </c>
    </row>
    <row r="9" spans="1:8" ht="16.5" x14ac:dyDescent="0.2">
      <c r="A9" s="91" t="s">
        <v>48</v>
      </c>
      <c r="B9" s="92" t="s">
        <v>34</v>
      </c>
      <c r="C9" s="93">
        <f>IFERROR(AVERAGEIFS('1_Raw_Data'!G:G,'1_Raw_Data'!C:C,A9,'1_Raw_Data'!D:D,B9),"-")</f>
        <v>67.344999999999999</v>
      </c>
      <c r="D9" s="94">
        <f>IFERROR(AVERAGEIFS('1_Raw_Data'!H:H,'1_Raw_Data'!C:C,A9,'1_Raw_Data'!D:D,B9),"-")</f>
        <v>26.0625</v>
      </c>
      <c r="E9" s="95">
        <f>IFERROR(AVERAGEIFS('1_Raw_Data'!I:I,'1_Raw_Data'!C:C,A9,'1_Raw_Data'!D:D,B9),"-")</f>
        <v>80.334374999999994</v>
      </c>
      <c r="F9" s="96">
        <f>COUNTIFS('1_Raw_Data'!C:C,A9,'1_Raw_Data'!D:D,B9)</f>
        <v>32</v>
      </c>
      <c r="G9" s="96">
        <f>COUNTIFS('1_Raw_Data'!C:C,A9,'1_Raw_Data'!D:D,B9,'1_Raw_Data'!M:M,"At Risk")</f>
        <v>19</v>
      </c>
      <c r="H9" s="97">
        <f>IFERROR(SUMIFS('1_Raw_Data'!K:K,'1_Raw_Data'!C:C,A9,'1_Raw_Data'!D:D,B9),0)</f>
        <v>535039.49000000011</v>
      </c>
    </row>
    <row r="10" spans="1:8" ht="16.5" x14ac:dyDescent="0.2">
      <c r="A10" s="87" t="s">
        <v>30</v>
      </c>
      <c r="B10" s="88" t="s">
        <v>17</v>
      </c>
      <c r="C10" s="89">
        <f>IFERROR(AVERAGEIFS('1_Raw_Data'!G:G,'1_Raw_Data'!C:C,A10,'1_Raw_Data'!D:D,B10),"-")</f>
        <v>1143.8085185185184</v>
      </c>
      <c r="D10" s="69">
        <f>IFERROR(AVERAGEIFS('1_Raw_Data'!H:H,'1_Raw_Data'!C:C,A10,'1_Raw_Data'!D:D,B10),"-")</f>
        <v>35.185185185185183</v>
      </c>
      <c r="E10" s="70">
        <f>IFERROR(AVERAGEIFS('1_Raw_Data'!I:I,'1_Raw_Data'!C:C,A10,'1_Raw_Data'!D:D,B10),"-")</f>
        <v>80.888888888888872</v>
      </c>
      <c r="F10" s="71">
        <f>COUNTIFS('1_Raw_Data'!C:C,A10,'1_Raw_Data'!D:D,B10)</f>
        <v>27</v>
      </c>
      <c r="G10" s="71">
        <f>COUNTIFS('1_Raw_Data'!C:C,A10,'1_Raw_Data'!D:D,B10,'1_Raw_Data'!M:M,"At Risk")</f>
        <v>17</v>
      </c>
      <c r="H10" s="90">
        <f>IFERROR(SUMIFS('1_Raw_Data'!K:K,'1_Raw_Data'!C:C,A10,'1_Raw_Data'!D:D,B10),0)</f>
        <v>8867291.0299999993</v>
      </c>
    </row>
    <row r="11" spans="1:8" ht="16.5" x14ac:dyDescent="0.2">
      <c r="A11" s="91" t="s">
        <v>30</v>
      </c>
      <c r="B11" s="92" t="s">
        <v>40</v>
      </c>
      <c r="C11" s="93">
        <f>IFERROR(AVERAGEIFS('1_Raw_Data'!G:G,'1_Raw_Data'!C:C,A11,'1_Raw_Data'!D:D,B11),"-")</f>
        <v>1067.985744680851</v>
      </c>
      <c r="D11" s="94">
        <f>IFERROR(AVERAGEIFS('1_Raw_Data'!H:H,'1_Raw_Data'!C:C,A11,'1_Raw_Data'!D:D,B11),"-")</f>
        <v>32.404255319148938</v>
      </c>
      <c r="E11" s="95">
        <f>IFERROR(AVERAGEIFS('1_Raw_Data'!I:I,'1_Raw_Data'!C:C,A11,'1_Raw_Data'!D:D,B11),"-")</f>
        <v>79.261702127659575</v>
      </c>
      <c r="F11" s="96">
        <f>COUNTIFS('1_Raw_Data'!C:C,A11,'1_Raw_Data'!D:D,B11)</f>
        <v>47</v>
      </c>
      <c r="G11" s="96">
        <f>COUNTIFS('1_Raw_Data'!C:C,A11,'1_Raw_Data'!D:D,B11,'1_Raw_Data'!M:M,"At Risk")</f>
        <v>28</v>
      </c>
      <c r="H11" s="97">
        <f>IFERROR(SUMIFS('1_Raw_Data'!K:K,'1_Raw_Data'!C:C,A11,'1_Raw_Data'!D:D,B11),0)</f>
        <v>13752042.709999999</v>
      </c>
    </row>
    <row r="12" spans="1:8" ht="16.5" x14ac:dyDescent="0.2">
      <c r="A12" s="98" t="s">
        <v>30</v>
      </c>
      <c r="B12" s="88" t="s">
        <v>34</v>
      </c>
      <c r="C12" s="89">
        <f>IFERROR(AVERAGEIFS('1_Raw_Data'!G:G,'1_Raw_Data'!C:C,A12,'1_Raw_Data'!D:D,B12),"-")</f>
        <v>1048.6733333333334</v>
      </c>
      <c r="D12" s="69">
        <f>IFERROR(AVERAGEIFS('1_Raw_Data'!H:H,'1_Raw_Data'!C:C,A12,'1_Raw_Data'!D:D,B12),"-")</f>
        <v>35.166666666666664</v>
      </c>
      <c r="E12" s="70">
        <f>IFERROR(AVERAGEIFS('1_Raw_Data'!I:I,'1_Raw_Data'!C:C,A12,'1_Raw_Data'!D:D,B12),"-")</f>
        <v>74.97</v>
      </c>
      <c r="F12" s="71">
        <f>COUNTIFS('1_Raw_Data'!C:C,A12,'1_Raw_Data'!D:D,B12)</f>
        <v>30</v>
      </c>
      <c r="G12" s="71">
        <f>COUNTIFS('1_Raw_Data'!C:C,A12,'1_Raw_Data'!D:D,B12,'1_Raw_Data'!M:M,"At Risk")</f>
        <v>24</v>
      </c>
      <c r="H12" s="90">
        <f>IFERROR(SUMIFS('1_Raw_Data'!K:K,'1_Raw_Data'!C:C,A12,'1_Raw_Data'!D:D,B12),0)</f>
        <v>8113856.9600000009</v>
      </c>
    </row>
    <row r="13" spans="1:8" ht="16.5" x14ac:dyDescent="0.2">
      <c r="A13" s="99" t="s">
        <v>39</v>
      </c>
      <c r="B13" s="92" t="s">
        <v>17</v>
      </c>
      <c r="C13" s="93">
        <f>IFERROR(AVERAGEIFS('1_Raw_Data'!G:G,'1_Raw_Data'!C:C,A13,'1_Raw_Data'!D:D,B13),"-")</f>
        <v>2896.1475</v>
      </c>
      <c r="D13" s="94">
        <f>IFERROR(AVERAGEIFS('1_Raw_Data'!H:H,'1_Raw_Data'!C:C,A13,'1_Raw_Data'!D:D,B13),"-")</f>
        <v>32.555555555555557</v>
      </c>
      <c r="E13" s="95">
        <f>IFERROR(AVERAGEIFS('1_Raw_Data'!I:I,'1_Raw_Data'!C:C,A13,'1_Raw_Data'!D:D,B13),"-")</f>
        <v>74.283333333333331</v>
      </c>
      <c r="F13" s="96">
        <f>COUNTIFS('1_Raw_Data'!C:C,A13,'1_Raw_Data'!D:D,B13)</f>
        <v>36</v>
      </c>
      <c r="G13" s="96">
        <f>COUNTIFS('1_Raw_Data'!C:C,A13,'1_Raw_Data'!D:D,B13,'1_Raw_Data'!M:M,"At Risk")</f>
        <v>27</v>
      </c>
      <c r="H13" s="97">
        <f>IFERROR(SUMIFS('1_Raw_Data'!K:K,'1_Raw_Data'!C:C,A13,'1_Raw_Data'!D:D,B13),0)</f>
        <v>27285769.660000004</v>
      </c>
    </row>
    <row r="14" spans="1:8" ht="16.5" x14ac:dyDescent="0.2">
      <c r="A14" s="98" t="s">
        <v>39</v>
      </c>
      <c r="B14" s="88" t="s">
        <v>40</v>
      </c>
      <c r="C14" s="89">
        <f>IFERROR(AVERAGEIFS('1_Raw_Data'!G:G,'1_Raw_Data'!C:C,A14,'1_Raw_Data'!D:D,B14),"-")</f>
        <v>2630.9512820512819</v>
      </c>
      <c r="D14" s="69">
        <f>IFERROR(AVERAGEIFS('1_Raw_Data'!H:H,'1_Raw_Data'!C:C,A14,'1_Raw_Data'!D:D,B14),"-")</f>
        <v>30.666666666666668</v>
      </c>
      <c r="E14" s="70">
        <f>IFERROR(AVERAGEIFS('1_Raw_Data'!I:I,'1_Raw_Data'!C:C,A14,'1_Raw_Data'!D:D,B14),"-")</f>
        <v>74.069230769230771</v>
      </c>
      <c r="F14" s="71">
        <f>COUNTIFS('1_Raw_Data'!C:C,A14,'1_Raw_Data'!D:D,B14)</f>
        <v>39</v>
      </c>
      <c r="G14" s="71">
        <f>COUNTIFS('1_Raw_Data'!C:C,A14,'1_Raw_Data'!D:D,B14,'1_Raw_Data'!M:M,"At Risk")</f>
        <v>30</v>
      </c>
      <c r="H14" s="90">
        <f>IFERROR(SUMIFS('1_Raw_Data'!K:K,'1_Raw_Data'!C:C,A14,'1_Raw_Data'!D:D,B14),0)</f>
        <v>26526349.130000003</v>
      </c>
    </row>
    <row r="15" spans="1:8" ht="16.5" x14ac:dyDescent="0.2">
      <c r="A15" s="91" t="s">
        <v>39</v>
      </c>
      <c r="B15" s="92" t="s">
        <v>34</v>
      </c>
      <c r="C15" s="93">
        <f>IFERROR(AVERAGEIFS('1_Raw_Data'!G:G,'1_Raw_Data'!C:C,A15,'1_Raw_Data'!D:D,B15),"-")</f>
        <v>2613.7037499999997</v>
      </c>
      <c r="D15" s="94">
        <f>IFERROR(AVERAGEIFS('1_Raw_Data'!H:H,'1_Raw_Data'!C:C,A15,'1_Raw_Data'!D:D,B15),"-")</f>
        <v>28.625</v>
      </c>
      <c r="E15" s="95">
        <f>IFERROR(AVERAGEIFS('1_Raw_Data'!I:I,'1_Raw_Data'!C:C,A15,'1_Raw_Data'!D:D,B15),"-")</f>
        <v>80.320833333333354</v>
      </c>
      <c r="F15" s="96">
        <f>COUNTIFS('1_Raw_Data'!C:C,A15,'1_Raw_Data'!D:D,B15)</f>
        <v>24</v>
      </c>
      <c r="G15" s="96">
        <f>COUNTIFS('1_Raw_Data'!C:C,A15,'1_Raw_Data'!D:D,B15,'1_Raw_Data'!M:M,"At Risk")</f>
        <v>14</v>
      </c>
      <c r="H15" s="97">
        <f>IFERROR(SUMIFS('1_Raw_Data'!K:K,'1_Raw_Data'!C:C,A15,'1_Raw_Data'!D:D,B15),0)</f>
        <v>13823895.159999996</v>
      </c>
    </row>
    <row r="16" spans="1:8" ht="16.5" x14ac:dyDescent="0.2">
      <c r="A16" s="87" t="s">
        <v>25</v>
      </c>
      <c r="B16" s="88" t="s">
        <v>17</v>
      </c>
      <c r="C16" s="89">
        <f>IFERROR(AVERAGEIFS('1_Raw_Data'!G:G,'1_Raw_Data'!C:C,A16,'1_Raw_Data'!D:D,B16),"-")</f>
        <v>39.606944444444444</v>
      </c>
      <c r="D16" s="69">
        <f>IFERROR(AVERAGEIFS('1_Raw_Data'!H:H,'1_Raw_Data'!C:C,A16,'1_Raw_Data'!D:D,B16),"-")</f>
        <v>32.944444444444443</v>
      </c>
      <c r="E16" s="70">
        <f>IFERROR(AVERAGEIFS('1_Raw_Data'!I:I,'1_Raw_Data'!C:C,A16,'1_Raw_Data'!D:D,B16),"-")</f>
        <v>74.438888888888897</v>
      </c>
      <c r="F16" s="71">
        <f>COUNTIFS('1_Raw_Data'!C:C,A16,'1_Raw_Data'!D:D,B16)</f>
        <v>36</v>
      </c>
      <c r="G16" s="71">
        <f>COUNTIFS('1_Raw_Data'!C:C,A16,'1_Raw_Data'!D:D,B16,'1_Raw_Data'!M:M,"At Risk")</f>
        <v>25</v>
      </c>
      <c r="H16" s="90">
        <f>IFERROR(SUMIFS('1_Raw_Data'!K:K,'1_Raw_Data'!C:C,A16,'1_Raw_Data'!D:D,B16),0)</f>
        <v>340570.20000000007</v>
      </c>
    </row>
    <row r="17" spans="1:8" ht="16.5" x14ac:dyDescent="0.2">
      <c r="A17" s="91" t="s">
        <v>25</v>
      </c>
      <c r="B17" s="92" t="s">
        <v>40</v>
      </c>
      <c r="C17" s="93">
        <f>IFERROR(AVERAGEIFS('1_Raw_Data'!G:G,'1_Raw_Data'!C:C,A17,'1_Raw_Data'!D:D,B17),"-")</f>
        <v>42.433571428571426</v>
      </c>
      <c r="D17" s="94">
        <f>IFERROR(AVERAGEIFS('1_Raw_Data'!H:H,'1_Raw_Data'!C:C,A17,'1_Raw_Data'!D:D,B17),"-")</f>
        <v>29.910714285714285</v>
      </c>
      <c r="E17" s="95">
        <f>IFERROR(AVERAGEIFS('1_Raw_Data'!I:I,'1_Raw_Data'!C:C,A17,'1_Raw_Data'!D:D,B17),"-")</f>
        <v>77.11964285714285</v>
      </c>
      <c r="F17" s="96">
        <f>COUNTIFS('1_Raw_Data'!C:C,A17,'1_Raw_Data'!D:D,B17)</f>
        <v>56</v>
      </c>
      <c r="G17" s="96">
        <f>COUNTIFS('1_Raw_Data'!C:C,A17,'1_Raw_Data'!D:D,B17,'1_Raw_Data'!M:M,"At Risk")</f>
        <v>37</v>
      </c>
      <c r="H17" s="97">
        <f>IFERROR(SUMIFS('1_Raw_Data'!K:K,'1_Raw_Data'!C:C,A17,'1_Raw_Data'!D:D,B17),0)</f>
        <v>673226.82</v>
      </c>
    </row>
    <row r="18" spans="1:8" ht="16.5" x14ac:dyDescent="0.2">
      <c r="A18" s="100" t="s">
        <v>25</v>
      </c>
      <c r="B18" s="101" t="s">
        <v>34</v>
      </c>
      <c r="C18" s="102">
        <f>IFERROR(AVERAGEIFS('1_Raw_Data'!G:G,'1_Raw_Data'!C:C,A18,'1_Raw_Data'!D:D,B18),"-")</f>
        <v>45.019500000000001</v>
      </c>
      <c r="D18" s="103">
        <f>IFERROR(AVERAGEIFS('1_Raw_Data'!H:H,'1_Raw_Data'!C:C,A18,'1_Raw_Data'!D:D,B18),"-")</f>
        <v>31.1</v>
      </c>
      <c r="E18" s="104">
        <f>IFERROR(AVERAGEIFS('1_Raw_Data'!I:I,'1_Raw_Data'!C:C,A18,'1_Raw_Data'!D:D,B18),"-")</f>
        <v>78.23</v>
      </c>
      <c r="F18" s="105">
        <f>COUNTIFS('1_Raw_Data'!C:C,A18,'1_Raw_Data'!D:D,B18)</f>
        <v>20</v>
      </c>
      <c r="G18" s="105">
        <f>COUNTIFS('1_Raw_Data'!C:C,A18,'1_Raw_Data'!D:D,B18,'1_Raw_Data'!M:M,"At Risk")</f>
        <v>16</v>
      </c>
      <c r="H18" s="106">
        <f>IFERROR(SUMIFS('1_Raw_Data'!K:K,'1_Raw_Data'!C:C,A18,'1_Raw_Data'!D:D,B18),0)</f>
        <v>229841.22</v>
      </c>
    </row>
    <row r="19" spans="1:8" ht="20.25" x14ac:dyDescent="0.5">
      <c r="A19" s="15"/>
      <c r="B19" s="15"/>
      <c r="C19" s="15"/>
      <c r="D19" s="15"/>
      <c r="E19" s="15"/>
      <c r="F19" s="15"/>
      <c r="G19" s="15"/>
      <c r="H19" s="15"/>
    </row>
    <row r="20" spans="1:8" ht="20.25" x14ac:dyDescent="0.5">
      <c r="A20" s="15"/>
      <c r="B20" s="15"/>
      <c r="C20" s="15"/>
      <c r="D20" s="15"/>
      <c r="E20" s="15"/>
      <c r="F20" s="15"/>
      <c r="G20" s="15"/>
      <c r="H20" s="15"/>
    </row>
    <row r="21" spans="1:8" ht="20.25" x14ac:dyDescent="0.5">
      <c r="A21" s="107" t="s">
        <v>1076</v>
      </c>
      <c r="B21" s="23"/>
      <c r="C21" s="23"/>
      <c r="D21" s="23"/>
      <c r="E21" s="23"/>
      <c r="F21" s="23"/>
      <c r="G21" s="23"/>
      <c r="H21" s="23"/>
    </row>
    <row r="22" spans="1:8" ht="24.75" customHeight="1" x14ac:dyDescent="0.2">
      <c r="A22" s="140" t="s">
        <v>4</v>
      </c>
      <c r="B22" s="141" t="s">
        <v>3</v>
      </c>
      <c r="C22" s="141" t="s">
        <v>1033</v>
      </c>
      <c r="D22" s="141" t="s">
        <v>1034</v>
      </c>
      <c r="E22" s="141" t="s">
        <v>1035</v>
      </c>
      <c r="F22" s="141" t="s">
        <v>1036</v>
      </c>
      <c r="G22" s="141" t="s">
        <v>1037</v>
      </c>
      <c r="H22" s="141" t="s">
        <v>1038</v>
      </c>
    </row>
    <row r="23" spans="1:8" ht="17.25" x14ac:dyDescent="0.4">
      <c r="A23" s="128" t="s">
        <v>22</v>
      </c>
      <c r="B23" s="138" t="s">
        <v>17</v>
      </c>
      <c r="C23" s="129">
        <f>IFERROR(AVERAGEIFS('1_Raw_Data'!G:G,'1_Raw_Data'!E:E,A23,'1_Raw_Data'!D:D,B23),"-")</f>
        <v>1545.5523809523806</v>
      </c>
      <c r="D23" s="130">
        <f>IFERROR(AVERAGEIFS('1_Raw_Data'!H:H,'1_Raw_Data'!E:E,A23,'1_Raw_Data'!D:D,B23),"-")</f>
        <v>28.476190476190474</v>
      </c>
      <c r="E23" s="131">
        <f>AVERAGEIFS('1_Raw_Data'!$I$2:$I$500, '1_Raw_Data'!$E$2:$E$500, $A23, '1_Raw_Data'!$D$2:$D$500, $B23)/100</f>
        <v>0.81285714285714294</v>
      </c>
      <c r="F23" s="132">
        <f>COUNTIFS('1_Raw_Data'!$E$2:$E$500, $A23, '1_Raw_Data'!$D$2:$D$500, $B23)</f>
        <v>21</v>
      </c>
      <c r="G23" s="132">
        <f>COUNTIFS('1_Raw_Data'!$E$2:$E$500, $A23, '1_Raw_Data'!$D$2:$D$500, $B23, '1_Raw_Data'!$M$2:$M$500, "At Risk")</f>
        <v>9</v>
      </c>
      <c r="H23" s="129">
        <f>SUMIFS('1_Raw_Data'!$K$2:$K$500, '1_Raw_Data'!$E$2:$E$500, $A23, '1_Raw_Data'!$D$2:$D$500, $B23)</f>
        <v>8502847.7499999981</v>
      </c>
    </row>
    <row r="24" spans="1:8" ht="17.25" x14ac:dyDescent="0.4">
      <c r="A24" s="112" t="s">
        <v>22</v>
      </c>
      <c r="B24" s="139" t="s">
        <v>40</v>
      </c>
      <c r="C24" s="135">
        <f>IFERROR(AVERAGEIFS('1_Raw_Data'!G:G,'1_Raw_Data'!E:E,A24,'1_Raw_Data'!D:D,B24),"-")</f>
        <v>695.59499999999991</v>
      </c>
      <c r="D24" s="136">
        <f>IFERROR(AVERAGEIFS('1_Raw_Data'!H:H,'1_Raw_Data'!E:E,A24,'1_Raw_Data'!D:D,B24),"-")</f>
        <v>28.681818181818183</v>
      </c>
      <c r="E24" s="133">
        <f>AVERAGEIFS('1_Raw_Data'!$I$2:$I$500, '1_Raw_Data'!$E$2:$E$500, $A24, '1_Raw_Data'!$D$2:$D$500, $B24)/100</f>
        <v>0.78249999999999986</v>
      </c>
      <c r="F24" s="137">
        <f>COUNTIFS('1_Raw_Data'!$E$2:$E$500, $A24, '1_Raw_Data'!$D$2:$D$500, $B24)</f>
        <v>22</v>
      </c>
      <c r="G24" s="137">
        <f>COUNTIFS('1_Raw_Data'!$E$2:$E$500, $A24, '1_Raw_Data'!$D$2:$D$500, $B24, '1_Raw_Data'!$M$2:$M$500, "At Risk")</f>
        <v>14</v>
      </c>
      <c r="H24" s="135">
        <f>SUMIFS('1_Raw_Data'!$K$2:$K$500, '1_Raw_Data'!$E$2:$E$500, $A24, '1_Raw_Data'!$D$2:$D$500, $B24)</f>
        <v>4695335.76</v>
      </c>
    </row>
    <row r="25" spans="1:8" ht="17.25" x14ac:dyDescent="0.4">
      <c r="A25" s="128" t="s">
        <v>22</v>
      </c>
      <c r="B25" s="138" t="s">
        <v>34</v>
      </c>
      <c r="C25" s="129">
        <f>IFERROR(AVERAGEIFS('1_Raw_Data'!G:G,'1_Raw_Data'!E:E,A25,'1_Raw_Data'!D:D,B25),"-")</f>
        <v>1091.247222222222</v>
      </c>
      <c r="D25" s="130">
        <f>IFERROR(AVERAGEIFS('1_Raw_Data'!H:H,'1_Raw_Data'!E:E,A25,'1_Raw_Data'!D:D,B25),"-")</f>
        <v>29.888888888888889</v>
      </c>
      <c r="E25" s="131">
        <f>AVERAGEIFS('1_Raw_Data'!$I$2:$I$500, '1_Raw_Data'!$E$2:$E$500, $A25, '1_Raw_Data'!$D$2:$D$500, $B25)/100</f>
        <v>0.80455555555555547</v>
      </c>
      <c r="F25" s="132">
        <f>COUNTIFS('1_Raw_Data'!$E$2:$E$500, $A25, '1_Raw_Data'!$D$2:$D$500, $B25)</f>
        <v>18</v>
      </c>
      <c r="G25" s="132">
        <f>COUNTIFS('1_Raw_Data'!$E$2:$E$500, $A25, '1_Raw_Data'!$D$2:$D$500, $B25, '1_Raw_Data'!$M$2:$M$500, "At Risk")</f>
        <v>11</v>
      </c>
      <c r="H25" s="129">
        <f>SUMIFS('1_Raw_Data'!$K$2:$K$500, '1_Raw_Data'!$E$2:$E$500, $A25, '1_Raw_Data'!$D$2:$D$500, $B25)</f>
        <v>5690787.5900000008</v>
      </c>
    </row>
    <row r="26" spans="1:8" ht="17.25" x14ac:dyDescent="0.4">
      <c r="A26" s="134" t="s">
        <v>45</v>
      </c>
      <c r="B26" s="139" t="s">
        <v>17</v>
      </c>
      <c r="C26" s="135">
        <f>IFERROR(AVERAGEIFS('1_Raw_Data'!G:G,'1_Raw_Data'!E:E,A26,'1_Raw_Data'!D:D,B26),"-")</f>
        <v>1005.0630434782607</v>
      </c>
      <c r="D26" s="136">
        <f>IFERROR(AVERAGEIFS('1_Raw_Data'!H:H,'1_Raw_Data'!E:E,A26,'1_Raw_Data'!D:D,B26),"-")</f>
        <v>28.347826086956523</v>
      </c>
      <c r="E26" s="133">
        <f>AVERAGEIFS('1_Raw_Data'!$I$2:$I$500, '1_Raw_Data'!$E$2:$E$500, $A26, '1_Raw_Data'!$D$2:$D$500, $B26)/100</f>
        <v>0.75778260869565217</v>
      </c>
      <c r="F26" s="137">
        <f>COUNTIFS('1_Raw_Data'!$E$2:$E$500, $A26, '1_Raw_Data'!$D$2:$D$500, $B26)</f>
        <v>23</v>
      </c>
      <c r="G26" s="137">
        <f>COUNTIFS('1_Raw_Data'!$E$2:$E$500, $A26, '1_Raw_Data'!$D$2:$D$500, $B26, '1_Raw_Data'!$M$2:$M$500, "At Risk")</f>
        <v>18</v>
      </c>
      <c r="H26" s="135">
        <f>SUMIFS('1_Raw_Data'!$K$2:$K$500, '1_Raw_Data'!$E$2:$E$500, $A26, '1_Raw_Data'!$D$2:$D$500, $B26)</f>
        <v>6805637.6499999985</v>
      </c>
    </row>
    <row r="27" spans="1:8" ht="17.25" x14ac:dyDescent="0.4">
      <c r="A27" s="128" t="s">
        <v>45</v>
      </c>
      <c r="B27" s="138" t="s">
        <v>40</v>
      </c>
      <c r="C27" s="129">
        <f>IFERROR(AVERAGEIFS('1_Raw_Data'!G:G,'1_Raw_Data'!E:E,A27,'1_Raw_Data'!D:D,B27),"-")</f>
        <v>817.06866666666645</v>
      </c>
      <c r="D27" s="130">
        <f>IFERROR(AVERAGEIFS('1_Raw_Data'!H:H,'1_Raw_Data'!E:E,A27,'1_Raw_Data'!D:D,B27),"-")</f>
        <v>32.200000000000003</v>
      </c>
      <c r="E27" s="131">
        <f>AVERAGEIFS('1_Raw_Data'!$I$2:$I$500, '1_Raw_Data'!$E$2:$E$500, $A27, '1_Raw_Data'!$D$2:$D$500, $B27)/100</f>
        <v>0.71903333333333352</v>
      </c>
      <c r="F27" s="132">
        <f>COUNTIFS('1_Raw_Data'!$E$2:$E$500, $A27, '1_Raw_Data'!$D$2:$D$500, $B27)</f>
        <v>30</v>
      </c>
      <c r="G27" s="132">
        <f>COUNTIFS('1_Raw_Data'!$E$2:$E$500, $A27, '1_Raw_Data'!$D$2:$D$500, $B27, '1_Raw_Data'!$M$2:$M$500, "At Risk")</f>
        <v>24</v>
      </c>
      <c r="H27" s="129">
        <f>SUMIFS('1_Raw_Data'!$K$2:$K$500, '1_Raw_Data'!$E$2:$E$500, $A27, '1_Raw_Data'!$D$2:$D$500, $B27)</f>
        <v>7097241.9900000012</v>
      </c>
    </row>
    <row r="28" spans="1:8" ht="17.25" x14ac:dyDescent="0.4">
      <c r="A28" s="134" t="s">
        <v>45</v>
      </c>
      <c r="B28" s="139" t="s">
        <v>34</v>
      </c>
      <c r="C28" s="135">
        <f>IFERROR(AVERAGEIFS('1_Raw_Data'!G:G,'1_Raw_Data'!E:E,A28,'1_Raw_Data'!D:D,B28),"-")</f>
        <v>1003.7070588235295</v>
      </c>
      <c r="D28" s="136">
        <f>IFERROR(AVERAGEIFS('1_Raw_Data'!H:H,'1_Raw_Data'!E:E,A28,'1_Raw_Data'!D:D,B28),"-")</f>
        <v>26.764705882352942</v>
      </c>
      <c r="E28" s="133">
        <f>AVERAGEIFS('1_Raw_Data'!$I$2:$I$500, '1_Raw_Data'!$E$2:$E$500, $A28, '1_Raw_Data'!$D$2:$D$500, $B28)/100</f>
        <v>0.74494117647058811</v>
      </c>
      <c r="F28" s="137">
        <f>COUNTIFS('1_Raw_Data'!$E$2:$E$500, $A28, '1_Raw_Data'!$D$2:$D$500, $B28)</f>
        <v>17</v>
      </c>
      <c r="G28" s="137">
        <f>COUNTIFS('1_Raw_Data'!$E$2:$E$500, $A28, '1_Raw_Data'!$D$2:$D$500, $B28, '1_Raw_Data'!$M$2:$M$500, "At Risk")</f>
        <v>14</v>
      </c>
      <c r="H28" s="135">
        <f>SUMIFS('1_Raw_Data'!$K$2:$K$500, '1_Raw_Data'!$E$2:$E$500, $A28, '1_Raw_Data'!$D$2:$D$500, $B28)</f>
        <v>2853162.47</v>
      </c>
    </row>
    <row r="29" spans="1:8" ht="17.25" x14ac:dyDescent="0.4">
      <c r="A29" s="128" t="s">
        <v>58</v>
      </c>
      <c r="B29" s="138" t="s">
        <v>17</v>
      </c>
      <c r="C29" s="129">
        <f>IFERROR(AVERAGEIFS('1_Raw_Data'!G:G,'1_Raw_Data'!E:E,A29,'1_Raw_Data'!D:D,B29),"-")</f>
        <v>712.84962962962959</v>
      </c>
      <c r="D29" s="130">
        <f>IFERROR(AVERAGEIFS('1_Raw_Data'!H:H,'1_Raw_Data'!E:E,A29,'1_Raw_Data'!D:D,B29),"-")</f>
        <v>29.74074074074074</v>
      </c>
      <c r="E29" s="131">
        <f>AVERAGEIFS('1_Raw_Data'!$I$2:$I$500, '1_Raw_Data'!$E$2:$E$500, $A29, '1_Raw_Data'!$D$2:$D$500, $B29)/100</f>
        <v>0.76707407407407413</v>
      </c>
      <c r="F29" s="132">
        <f>COUNTIFS('1_Raw_Data'!$E$2:$E$500, $A29, '1_Raw_Data'!$D$2:$D$500, $B29)</f>
        <v>27</v>
      </c>
      <c r="G29" s="132">
        <f>COUNTIFS('1_Raw_Data'!$E$2:$E$500, $A29, '1_Raw_Data'!$D$2:$D$500, $B29, '1_Raw_Data'!$M$2:$M$500, "At Risk")</f>
        <v>21</v>
      </c>
      <c r="H29" s="129">
        <f>SUMIFS('1_Raw_Data'!$K$2:$K$500, '1_Raw_Data'!$E$2:$E$500, $A29, '1_Raw_Data'!$D$2:$D$500, $B29)</f>
        <v>4857459.8900000006</v>
      </c>
    </row>
    <row r="30" spans="1:8" ht="17.25" x14ac:dyDescent="0.4">
      <c r="A30" s="134" t="s">
        <v>58</v>
      </c>
      <c r="B30" s="139" t="s">
        <v>40</v>
      </c>
      <c r="C30" s="135">
        <f>IFERROR(AVERAGEIFS('1_Raw_Data'!G:G,'1_Raw_Data'!E:E,A30,'1_Raw_Data'!D:D,B30),"-")</f>
        <v>1059.8414285714287</v>
      </c>
      <c r="D30" s="136">
        <f>IFERROR(AVERAGEIFS('1_Raw_Data'!H:H,'1_Raw_Data'!E:E,A30,'1_Raw_Data'!D:D,B30),"-")</f>
        <v>30.821428571428573</v>
      </c>
      <c r="E30" s="133">
        <f>AVERAGEIFS('1_Raw_Data'!$I$2:$I$500, '1_Raw_Data'!$E$2:$E$500, $A30, '1_Raw_Data'!$D$2:$D$500, $B30)/100</f>
        <v>0.77107142857142852</v>
      </c>
      <c r="F30" s="137">
        <f>COUNTIFS('1_Raw_Data'!$E$2:$E$500, $A30, '1_Raw_Data'!$D$2:$D$500, $B30)</f>
        <v>28</v>
      </c>
      <c r="G30" s="137">
        <f>COUNTIFS('1_Raw_Data'!$E$2:$E$500, $A30, '1_Raw_Data'!$D$2:$D$500, $B30, '1_Raw_Data'!$M$2:$M$500, "At Risk")</f>
        <v>19</v>
      </c>
      <c r="H30" s="135">
        <f>SUMIFS('1_Raw_Data'!$K$2:$K$500, '1_Raw_Data'!$E$2:$E$500, $A30, '1_Raw_Data'!$D$2:$D$500, $B30)</f>
        <v>8775988.4699999988</v>
      </c>
    </row>
    <row r="31" spans="1:8" ht="17.25" x14ac:dyDescent="0.4">
      <c r="A31" s="128" t="s">
        <v>58</v>
      </c>
      <c r="B31" s="138" t="s">
        <v>34</v>
      </c>
      <c r="C31" s="129">
        <f>IFERROR(AVERAGEIFS('1_Raw_Data'!G:G,'1_Raw_Data'!E:E,A31,'1_Raw_Data'!D:D,B31),"-")</f>
        <v>880.42450000000008</v>
      </c>
      <c r="D31" s="130">
        <f>IFERROR(AVERAGEIFS('1_Raw_Data'!H:H,'1_Raw_Data'!E:E,A31,'1_Raw_Data'!D:D,B31),"-")</f>
        <v>25.55</v>
      </c>
      <c r="E31" s="131">
        <f>AVERAGEIFS('1_Raw_Data'!$I$2:$I$500, '1_Raw_Data'!$E$2:$E$500, $A31, '1_Raw_Data'!$D$2:$D$500, $B31)/100</f>
        <v>0.77905000000000002</v>
      </c>
      <c r="F31" s="132">
        <f>COUNTIFS('1_Raw_Data'!$E$2:$E$500, $A31, '1_Raw_Data'!$D$2:$D$500, $B31)</f>
        <v>20</v>
      </c>
      <c r="G31" s="132">
        <f>COUNTIFS('1_Raw_Data'!$E$2:$E$500, $A31, '1_Raw_Data'!$D$2:$D$500, $B31, '1_Raw_Data'!$M$2:$M$500, "At Risk")</f>
        <v>12</v>
      </c>
      <c r="H31" s="129">
        <f>SUMIFS('1_Raw_Data'!$K$2:$K$500, '1_Raw_Data'!$E$2:$E$500, $A31, '1_Raw_Data'!$D$2:$D$500, $B31)</f>
        <v>3512340.67</v>
      </c>
    </row>
    <row r="32" spans="1:8" ht="17.25" x14ac:dyDescent="0.4">
      <c r="A32" s="134" t="s">
        <v>18</v>
      </c>
      <c r="B32" s="139" t="s">
        <v>17</v>
      </c>
      <c r="C32" s="135">
        <f>IFERROR(AVERAGEIFS('1_Raw_Data'!G:G,'1_Raw_Data'!E:E,A32,'1_Raw_Data'!D:D,B32),"-")</f>
        <v>1114.5022222222221</v>
      </c>
      <c r="D32" s="136">
        <f>IFERROR(AVERAGEIFS('1_Raw_Data'!H:H,'1_Raw_Data'!E:E,A32,'1_Raw_Data'!D:D,B32),"-")</f>
        <v>26.166666666666668</v>
      </c>
      <c r="E32" s="133">
        <f>AVERAGEIFS('1_Raw_Data'!$I$2:$I$500, '1_Raw_Data'!$E$2:$E$500, $A32, '1_Raw_Data'!$D$2:$D$500, $B32)/100</f>
        <v>0.75988888888888884</v>
      </c>
      <c r="F32" s="137">
        <f>COUNTIFS('1_Raw_Data'!$E$2:$E$500, $A32, '1_Raw_Data'!$D$2:$D$500, $B32)</f>
        <v>18</v>
      </c>
      <c r="G32" s="137">
        <f>COUNTIFS('1_Raw_Data'!$E$2:$E$500, $A32, '1_Raw_Data'!$D$2:$D$500, $B32, '1_Raw_Data'!$M$2:$M$500, "At Risk")</f>
        <v>12</v>
      </c>
      <c r="H32" s="135">
        <f>SUMIFS('1_Raw_Data'!$K$2:$K$500, '1_Raw_Data'!$E$2:$E$500, $A32, '1_Raw_Data'!$D$2:$D$500, $B32)</f>
        <v>5940407.5700000003</v>
      </c>
    </row>
    <row r="33" spans="1:8" ht="17.25" x14ac:dyDescent="0.4">
      <c r="A33" s="128" t="s">
        <v>18</v>
      </c>
      <c r="B33" s="138" t="s">
        <v>40</v>
      </c>
      <c r="C33" s="129">
        <f>IFERROR(AVERAGEIFS('1_Raw_Data'!G:G,'1_Raw_Data'!E:E,A33,'1_Raw_Data'!D:D,B33),"-")</f>
        <v>685.1793103448274</v>
      </c>
      <c r="D33" s="130">
        <f>IFERROR(AVERAGEIFS('1_Raw_Data'!H:H,'1_Raw_Data'!E:E,A33,'1_Raw_Data'!D:D,B33),"-")</f>
        <v>31.241379310344829</v>
      </c>
      <c r="E33" s="131">
        <f>AVERAGEIFS('1_Raw_Data'!$I$2:$I$500, '1_Raw_Data'!$E$2:$E$500, $A33, '1_Raw_Data'!$D$2:$D$500, $B33)/100</f>
        <v>0.80441379310344818</v>
      </c>
      <c r="F33" s="132">
        <f>COUNTIFS('1_Raw_Data'!$E$2:$E$500, $A33, '1_Raw_Data'!$D$2:$D$500, $B33)</f>
        <v>29</v>
      </c>
      <c r="G33" s="132">
        <f>COUNTIFS('1_Raw_Data'!$E$2:$E$500, $A33, '1_Raw_Data'!$D$2:$D$500, $B33, '1_Raw_Data'!$M$2:$M$500, "At Risk")</f>
        <v>17</v>
      </c>
      <c r="H33" s="129">
        <f>SUMIFS('1_Raw_Data'!$K$2:$K$500, '1_Raw_Data'!$E$2:$E$500, $A33, '1_Raw_Data'!$D$2:$D$500, $B33)</f>
        <v>4746200.9700000007</v>
      </c>
    </row>
    <row r="34" spans="1:8" ht="17.25" x14ac:dyDescent="0.4">
      <c r="A34" s="134" t="s">
        <v>18</v>
      </c>
      <c r="B34" s="139" t="s">
        <v>34</v>
      </c>
      <c r="C34" s="135">
        <f>IFERROR(AVERAGEIFS('1_Raw_Data'!G:G,'1_Raw_Data'!E:E,A34,'1_Raw_Data'!D:D,B34),"-")</f>
        <v>782.12636363636364</v>
      </c>
      <c r="D34" s="136">
        <f>IFERROR(AVERAGEIFS('1_Raw_Data'!H:H,'1_Raw_Data'!E:E,A34,'1_Raw_Data'!D:D,B34),"-")</f>
        <v>30.818181818181817</v>
      </c>
      <c r="E34" s="133">
        <f>AVERAGEIFS('1_Raw_Data'!$I$2:$I$500, '1_Raw_Data'!$E$2:$E$500, $A34, '1_Raw_Data'!$D$2:$D$500, $B34)/100</f>
        <v>0.74772727272727268</v>
      </c>
      <c r="F34" s="137">
        <f>COUNTIFS('1_Raw_Data'!$E$2:$E$500, $A34, '1_Raw_Data'!$D$2:$D$500, $B34)</f>
        <v>11</v>
      </c>
      <c r="G34" s="137">
        <f>COUNTIFS('1_Raw_Data'!$E$2:$E$500, $A34, '1_Raw_Data'!$D$2:$D$500, $B34, '1_Raw_Data'!$M$2:$M$500, "At Risk")</f>
        <v>11</v>
      </c>
      <c r="H34" s="135">
        <f>SUMIFS('1_Raw_Data'!$K$2:$K$500, '1_Raw_Data'!$E$2:$E$500, $A34, '1_Raw_Data'!$D$2:$D$500, $B34)</f>
        <v>2638414.0199999991</v>
      </c>
    </row>
    <row r="35" spans="1:8" ht="17.25" x14ac:dyDescent="0.4">
      <c r="A35" s="128" t="s">
        <v>41</v>
      </c>
      <c r="B35" s="138" t="s">
        <v>17</v>
      </c>
      <c r="C35" s="129">
        <f>IFERROR(AVERAGEIFS('1_Raw_Data'!G:G,'1_Raw_Data'!E:E,A35,'1_Raw_Data'!D:D,B35),"-")</f>
        <v>404.69384615384621</v>
      </c>
      <c r="D35" s="130">
        <f>IFERROR(AVERAGEIFS('1_Raw_Data'!H:H,'1_Raw_Data'!E:E,A35,'1_Raw_Data'!D:D,B35),"-")</f>
        <v>38</v>
      </c>
      <c r="E35" s="131">
        <f>AVERAGEIFS('1_Raw_Data'!$I$2:$I$500, '1_Raw_Data'!$E$2:$E$500, $A35, '1_Raw_Data'!$D$2:$D$500, $B35)/100</f>
        <v>0.72853846153846158</v>
      </c>
      <c r="F35" s="132">
        <f>COUNTIFS('1_Raw_Data'!$E$2:$E$500, $A35, '1_Raw_Data'!$D$2:$D$500, $B35)</f>
        <v>13</v>
      </c>
      <c r="G35" s="132">
        <f>COUNTIFS('1_Raw_Data'!$E$2:$E$500, $A35, '1_Raw_Data'!$D$2:$D$500, $B35, '1_Raw_Data'!$M$2:$M$500, "At Risk")</f>
        <v>10</v>
      </c>
      <c r="H35" s="129">
        <f>SUMIFS('1_Raw_Data'!$K$2:$K$500, '1_Raw_Data'!$E$2:$E$500, $A35, '1_Raw_Data'!$D$2:$D$500, $B35)</f>
        <v>1111085.3999999999</v>
      </c>
    </row>
    <row r="36" spans="1:8" ht="17.25" x14ac:dyDescent="0.4">
      <c r="A36" s="134" t="s">
        <v>41</v>
      </c>
      <c r="B36" s="139" t="s">
        <v>40</v>
      </c>
      <c r="C36" s="135">
        <f>IFERROR(AVERAGEIFS('1_Raw_Data'!G:G,'1_Raw_Data'!E:E,A36,'1_Raw_Data'!D:D,B36),"-")</f>
        <v>930.7800000000002</v>
      </c>
      <c r="D36" s="136">
        <f>IFERROR(AVERAGEIFS('1_Raw_Data'!H:H,'1_Raw_Data'!E:E,A36,'1_Raw_Data'!D:D,B36),"-")</f>
        <v>30.967741935483872</v>
      </c>
      <c r="E36" s="133">
        <f>AVERAGEIFS('1_Raw_Data'!$I$2:$I$500, '1_Raw_Data'!$E$2:$E$500, $A36, '1_Raw_Data'!$D$2:$D$500, $B36)/100</f>
        <v>0.76632258064516134</v>
      </c>
      <c r="F36" s="137">
        <f>COUNTIFS('1_Raw_Data'!$E$2:$E$500, $A36, '1_Raw_Data'!$D$2:$D$500, $B36)</f>
        <v>31</v>
      </c>
      <c r="G36" s="137">
        <f>COUNTIFS('1_Raw_Data'!$E$2:$E$500, $A36, '1_Raw_Data'!$D$2:$D$500, $B36, '1_Raw_Data'!$M$2:$M$500, "At Risk")</f>
        <v>21</v>
      </c>
      <c r="H36" s="135">
        <f>SUMIFS('1_Raw_Data'!$K$2:$K$500, '1_Raw_Data'!$E$2:$E$500, $A36, '1_Raw_Data'!$D$2:$D$500, $B36)</f>
        <v>6825832.040000001</v>
      </c>
    </row>
    <row r="37" spans="1:8" ht="17.25" x14ac:dyDescent="0.4">
      <c r="A37" s="128" t="s">
        <v>41</v>
      </c>
      <c r="B37" s="138" t="s">
        <v>34</v>
      </c>
      <c r="C37" s="129">
        <f>IFERROR(AVERAGEIFS('1_Raw_Data'!G:G,'1_Raw_Data'!E:E,A37,'1_Raw_Data'!D:D,B37),"-")</f>
        <v>807.18000000000006</v>
      </c>
      <c r="D37" s="130">
        <f>IFERROR(AVERAGEIFS('1_Raw_Data'!H:H,'1_Raw_Data'!E:E,A37,'1_Raw_Data'!D:D,B37),"-")</f>
        <v>24.375</v>
      </c>
      <c r="E37" s="131">
        <f>AVERAGEIFS('1_Raw_Data'!$I$2:$I$500, '1_Raw_Data'!$E$2:$E$500, $A37, '1_Raw_Data'!$D$2:$D$500, $B37)/100</f>
        <v>0.823125</v>
      </c>
      <c r="F37" s="132">
        <f>COUNTIFS('1_Raw_Data'!$E$2:$E$500, $A37, '1_Raw_Data'!$D$2:$D$500, $B37)</f>
        <v>8</v>
      </c>
      <c r="G37" s="132">
        <f>COUNTIFS('1_Raw_Data'!$E$2:$E$500, $A37, '1_Raw_Data'!$D$2:$D$500, $B37, '1_Raw_Data'!$M$2:$M$500, "At Risk")</f>
        <v>4</v>
      </c>
      <c r="H37" s="129">
        <f>SUMIFS('1_Raw_Data'!$K$2:$K$500, '1_Raw_Data'!$E$2:$E$500, $A37, '1_Raw_Data'!$D$2:$D$500, $B37)</f>
        <v>1541096.48</v>
      </c>
    </row>
    <row r="38" spans="1:8" ht="17.25" x14ac:dyDescent="0.4">
      <c r="A38" s="134" t="s">
        <v>31</v>
      </c>
      <c r="B38" s="139" t="s">
        <v>17</v>
      </c>
      <c r="C38" s="135">
        <f>IFERROR(AVERAGEIFS('1_Raw_Data'!G:G,'1_Raw_Data'!E:E,A38,'1_Raw_Data'!D:D,B38),"-")</f>
        <v>895.81809523809522</v>
      </c>
      <c r="D38" s="136">
        <f>IFERROR(AVERAGEIFS('1_Raw_Data'!H:H,'1_Raw_Data'!E:E,A38,'1_Raw_Data'!D:D,B38),"-")</f>
        <v>36.857142857142854</v>
      </c>
      <c r="E38" s="133">
        <f>AVERAGEIFS('1_Raw_Data'!$I$2:$I$500, '1_Raw_Data'!$E$2:$E$500, $A38, '1_Raw_Data'!$D$2:$D$500, $B38)/100</f>
        <v>0.72657142857142842</v>
      </c>
      <c r="F38" s="137">
        <f>COUNTIFS('1_Raw_Data'!$E$2:$E$500, $A38, '1_Raw_Data'!$D$2:$D$500, $B38)</f>
        <v>21</v>
      </c>
      <c r="G38" s="137">
        <f>COUNTIFS('1_Raw_Data'!$E$2:$E$500, $A38, '1_Raw_Data'!$D$2:$D$500, $B38, '1_Raw_Data'!$M$2:$M$500, "At Risk")</f>
        <v>17</v>
      </c>
      <c r="H38" s="135">
        <f>SUMIFS('1_Raw_Data'!$K$2:$K$500, '1_Raw_Data'!$E$2:$E$500, $A38, '1_Raw_Data'!$D$2:$D$500, $B38)</f>
        <v>5513347.7999999998</v>
      </c>
    </row>
    <row r="39" spans="1:8" ht="17.25" x14ac:dyDescent="0.4">
      <c r="A39" s="128" t="s">
        <v>31</v>
      </c>
      <c r="B39" s="138" t="s">
        <v>40</v>
      </c>
      <c r="C39" s="129">
        <f>IFERROR(AVERAGEIFS('1_Raw_Data'!G:G,'1_Raw_Data'!E:E,A39,'1_Raw_Data'!D:D,B39),"-")</f>
        <v>642.26878787878786</v>
      </c>
      <c r="D39" s="130">
        <f>IFERROR(AVERAGEIFS('1_Raw_Data'!H:H,'1_Raw_Data'!E:E,A39,'1_Raw_Data'!D:D,B39),"-")</f>
        <v>37.363636363636367</v>
      </c>
      <c r="E39" s="131">
        <f>AVERAGEIFS('1_Raw_Data'!$I$2:$I$500, '1_Raw_Data'!$E$2:$E$500, $A39, '1_Raw_Data'!$D$2:$D$500, $B39)/100</f>
        <v>0.77965624999999972</v>
      </c>
      <c r="F39" s="132">
        <f>COUNTIFS('1_Raw_Data'!$E$2:$E$500, $A39, '1_Raw_Data'!$D$2:$D$500, $B39)</f>
        <v>32</v>
      </c>
      <c r="G39" s="132">
        <f>COUNTIFS('1_Raw_Data'!$E$2:$E$500, $A39, '1_Raw_Data'!$D$2:$D$500, $B39, '1_Raw_Data'!$M$2:$M$500, "At Risk")</f>
        <v>21</v>
      </c>
      <c r="H39" s="129">
        <f>SUMIFS('1_Raw_Data'!$K$2:$K$500, '1_Raw_Data'!$E$2:$E$500, $A39, '1_Raw_Data'!$D$2:$D$500, $B39)</f>
        <v>4713212.3199999975</v>
      </c>
    </row>
    <row r="40" spans="1:8" ht="17.25" x14ac:dyDescent="0.4">
      <c r="A40" s="134" t="s">
        <v>31</v>
      </c>
      <c r="B40" s="139" t="s">
        <v>34</v>
      </c>
      <c r="C40" s="135">
        <f>IFERROR(AVERAGEIFS('1_Raw_Data'!G:G,'1_Raw_Data'!E:E,A40,'1_Raw_Data'!D:D,B40),"-")</f>
        <v>772.78111111111104</v>
      </c>
      <c r="D40" s="136">
        <f>IFERROR(AVERAGEIFS('1_Raw_Data'!H:H,'1_Raw_Data'!E:E,A40,'1_Raw_Data'!D:D,B40),"-")</f>
        <v>33.444444444444443</v>
      </c>
      <c r="E40" s="133">
        <f>AVERAGEIFS('1_Raw_Data'!$I$2:$I$500, '1_Raw_Data'!$E$2:$E$500, $A40, '1_Raw_Data'!$D$2:$D$500, $B40)/100</f>
        <v>0.82705555555555577</v>
      </c>
      <c r="F40" s="137">
        <f>COUNTIFS('1_Raw_Data'!$E$2:$E$500, $A40, '1_Raw_Data'!$D$2:$D$500, $B40)</f>
        <v>18</v>
      </c>
      <c r="G40" s="137">
        <f>COUNTIFS('1_Raw_Data'!$E$2:$E$500, $A40, '1_Raw_Data'!$D$2:$D$500, $B40, '1_Raw_Data'!$M$2:$M$500, "At Risk")</f>
        <v>11</v>
      </c>
      <c r="H40" s="135">
        <f>SUMIFS('1_Raw_Data'!$K$2:$K$500, '1_Raw_Data'!$E$2:$E$500, $A40, '1_Raw_Data'!$D$2:$D$500, $B40)</f>
        <v>3640353.7</v>
      </c>
    </row>
    <row r="41" spans="1:8" ht="17.25" x14ac:dyDescent="0.4">
      <c r="A41" s="128" t="s">
        <v>26</v>
      </c>
      <c r="B41" s="138" t="s">
        <v>17</v>
      </c>
      <c r="C41" s="129">
        <f>IFERROR(AVERAGEIFS('1_Raw_Data'!G:G,'1_Raw_Data'!E:E,A41,'1_Raw_Data'!D:D,B41),"-")</f>
        <v>1191.1143749999999</v>
      </c>
      <c r="D41" s="130">
        <f>IFERROR(AVERAGEIFS('1_Raw_Data'!H:H,'1_Raw_Data'!E:E,A41,'1_Raw_Data'!D:D,B41),"-")</f>
        <v>36.1875</v>
      </c>
      <c r="E41" s="131">
        <f>AVERAGEIFS('1_Raw_Data'!$I$2:$I$500, '1_Raw_Data'!$E$2:$E$500, $A41, '1_Raw_Data'!$D$2:$D$500, $B41)/100</f>
        <v>0.78181249999999991</v>
      </c>
      <c r="F41" s="132">
        <f>COUNTIFS('1_Raw_Data'!$E$2:$E$500, $A41, '1_Raw_Data'!$D$2:$D$500, $B41)</f>
        <v>16</v>
      </c>
      <c r="G41" s="132">
        <f>COUNTIFS('1_Raw_Data'!$E$2:$E$500, $A41, '1_Raw_Data'!$D$2:$D$500, $B41, '1_Raw_Data'!$M$2:$M$500, "At Risk")</f>
        <v>8</v>
      </c>
      <c r="H41" s="129">
        <f>SUMIFS('1_Raw_Data'!$K$2:$K$500, '1_Raw_Data'!$E$2:$E$500, $A41, '1_Raw_Data'!$D$2:$D$500, $B41)</f>
        <v>5079732.3900000006</v>
      </c>
    </row>
    <row r="42" spans="1:8" ht="17.25" x14ac:dyDescent="0.4">
      <c r="A42" s="134" t="s">
        <v>26</v>
      </c>
      <c r="B42" s="139" t="s">
        <v>40</v>
      </c>
      <c r="C42" s="135">
        <f>IFERROR(AVERAGEIFS('1_Raw_Data'!G:G,'1_Raw_Data'!E:E,A42,'1_Raw_Data'!D:D,B42),"-")</f>
        <v>863.25333333333344</v>
      </c>
      <c r="D42" s="136">
        <f>IFERROR(AVERAGEIFS('1_Raw_Data'!H:H,'1_Raw_Data'!E:E,A42,'1_Raw_Data'!D:D,B42),"-")</f>
        <v>37.944444444444443</v>
      </c>
      <c r="E42" s="133">
        <f>AVERAGEIFS('1_Raw_Data'!$I$2:$I$500, '1_Raw_Data'!$E$2:$E$500, $A42, '1_Raw_Data'!$D$2:$D$500, $B42)/100</f>
        <v>0.76788888888888873</v>
      </c>
      <c r="F42" s="137">
        <f>COUNTIFS('1_Raw_Data'!$E$2:$E$500, $A42, '1_Raw_Data'!$D$2:$D$500, $B42)</f>
        <v>18</v>
      </c>
      <c r="G42" s="137">
        <f>COUNTIFS('1_Raw_Data'!$E$2:$E$500, $A42, '1_Raw_Data'!$D$2:$D$500, $B42, '1_Raw_Data'!$M$2:$M$500, "At Risk")</f>
        <v>13</v>
      </c>
      <c r="H42" s="135">
        <f>SUMIFS('1_Raw_Data'!$K$2:$K$500, '1_Raw_Data'!$E$2:$E$500, $A42, '1_Raw_Data'!$D$2:$D$500, $B42)</f>
        <v>3570373.89</v>
      </c>
    </row>
    <row r="43" spans="1:8" ht="17.25" x14ac:dyDescent="0.4">
      <c r="A43" s="128" t="s">
        <v>26</v>
      </c>
      <c r="B43" s="138" t="s">
        <v>34</v>
      </c>
      <c r="C43" s="129">
        <f>IFERROR(AVERAGEIFS('1_Raw_Data'!G:G,'1_Raw_Data'!E:E,A43,'1_Raw_Data'!D:D,B43),"-")</f>
        <v>668.7595238095239</v>
      </c>
      <c r="D43" s="130">
        <f>IFERROR(AVERAGEIFS('1_Raw_Data'!H:H,'1_Raw_Data'!E:E,A43,'1_Raw_Data'!D:D,B43),"-")</f>
        <v>33.857142857142854</v>
      </c>
      <c r="E43" s="131">
        <f>AVERAGEIFS('1_Raw_Data'!$I$2:$I$500, '1_Raw_Data'!$E$2:$E$500, $A43, '1_Raw_Data'!$D$2:$D$500, $B43)/100</f>
        <v>0.75919047619047619</v>
      </c>
      <c r="F43" s="132">
        <f>COUNTIFS('1_Raw_Data'!$E$2:$E$500, $A43, '1_Raw_Data'!$D$2:$D$500, $B43)</f>
        <v>21</v>
      </c>
      <c r="G43" s="132">
        <f>COUNTIFS('1_Raw_Data'!$E$2:$E$500, $A43, '1_Raw_Data'!$D$2:$D$500, $B43, '1_Raw_Data'!$M$2:$M$500, "At Risk")</f>
        <v>15</v>
      </c>
      <c r="H43" s="129">
        <f>SUMIFS('1_Raw_Data'!$K$2:$K$500, '1_Raw_Data'!$E$2:$E$500, $A43, '1_Raw_Data'!$D$2:$D$500, $B43)</f>
        <v>3312096.5000000005</v>
      </c>
    </row>
    <row r="44" spans="1:8" ht="17.25" x14ac:dyDescent="0.4">
      <c r="A44" s="134" t="s">
        <v>51</v>
      </c>
      <c r="B44" s="139" t="s">
        <v>17</v>
      </c>
      <c r="C44" s="135">
        <f>IFERROR(AVERAGEIFS('1_Raw_Data'!G:G,'1_Raw_Data'!E:E,A44,'1_Raw_Data'!D:D,B44),"-")</f>
        <v>1025.4557142857143</v>
      </c>
      <c r="D44" s="136">
        <f>IFERROR(AVERAGEIFS('1_Raw_Data'!H:H,'1_Raw_Data'!E:E,A44,'1_Raw_Data'!D:D,B44),"-")</f>
        <v>32.714285714285715</v>
      </c>
      <c r="E44" s="133">
        <f>AVERAGEIFS('1_Raw_Data'!$I$2:$I$500, '1_Raw_Data'!$E$2:$E$500, $A44, '1_Raw_Data'!$D$2:$D$500, $B44)/100</f>
        <v>0.77007142857142852</v>
      </c>
      <c r="F44" s="137">
        <f>COUNTIFS('1_Raw_Data'!$E$2:$E$500, $A44, '1_Raw_Data'!$D$2:$D$500, $B44)</f>
        <v>14</v>
      </c>
      <c r="G44" s="137">
        <f>COUNTIFS('1_Raw_Data'!$E$2:$E$500, $A44, '1_Raw_Data'!$D$2:$D$500, $B44, '1_Raw_Data'!$M$2:$M$500, "At Risk")</f>
        <v>10</v>
      </c>
      <c r="H44" s="135">
        <f>SUMIFS('1_Raw_Data'!$K$2:$K$500, '1_Raw_Data'!$E$2:$E$500, $A44, '1_Raw_Data'!$D$2:$D$500, $B44)</f>
        <v>3028308.25</v>
      </c>
    </row>
    <row r="45" spans="1:8" ht="17.25" x14ac:dyDescent="0.4">
      <c r="A45" s="128" t="s">
        <v>51</v>
      </c>
      <c r="B45" s="138" t="s">
        <v>40</v>
      </c>
      <c r="C45" s="129">
        <f>IFERROR(AVERAGEIFS('1_Raw_Data'!G:G,'1_Raw_Data'!E:E,A45,'1_Raw_Data'!D:D,B45),"-")</f>
        <v>759.81565217391301</v>
      </c>
      <c r="D45" s="130">
        <f>IFERROR(AVERAGEIFS('1_Raw_Data'!H:H,'1_Raw_Data'!E:E,A45,'1_Raw_Data'!D:D,B45),"-")</f>
        <v>27.913043478260871</v>
      </c>
      <c r="E45" s="131">
        <f>AVERAGEIFS('1_Raw_Data'!$I$2:$I$500, '1_Raw_Data'!$E$2:$E$500, $A45, '1_Raw_Data'!$D$2:$D$500, $B45)/100</f>
        <v>0.74386956521739112</v>
      </c>
      <c r="F45" s="132">
        <f>COUNTIFS('1_Raw_Data'!$E$2:$E$500, $A45, '1_Raw_Data'!$D$2:$D$500, $B45)</f>
        <v>23</v>
      </c>
      <c r="G45" s="132">
        <f>COUNTIFS('1_Raw_Data'!$E$2:$E$500, $A45, '1_Raw_Data'!$D$2:$D$500, $B45, '1_Raw_Data'!$M$2:$M$500, "At Risk")</f>
        <v>18</v>
      </c>
      <c r="H45" s="129">
        <f>SUMIFS('1_Raw_Data'!$K$2:$K$500, '1_Raw_Data'!$E$2:$E$500, $A45, '1_Raw_Data'!$D$2:$D$500, $B45)</f>
        <v>4349401.28</v>
      </c>
    </row>
    <row r="46" spans="1:8" ht="17.25" x14ac:dyDescent="0.4">
      <c r="A46" s="134" t="s">
        <v>51</v>
      </c>
      <c r="B46" s="139" t="s">
        <v>34</v>
      </c>
      <c r="C46" s="135">
        <f>IFERROR(AVERAGEIFS('1_Raw_Data'!G:G,'1_Raw_Data'!E:E,A46,'1_Raw_Data'!D:D,B46),"-")</f>
        <v>576.12499999999989</v>
      </c>
      <c r="D46" s="136">
        <f>IFERROR(AVERAGEIFS('1_Raw_Data'!H:H,'1_Raw_Data'!E:E,A46,'1_Raw_Data'!D:D,B46),"-")</f>
        <v>27.6</v>
      </c>
      <c r="E46" s="133">
        <f>AVERAGEIFS('1_Raw_Data'!$I$2:$I$500, '1_Raw_Data'!$E$2:$E$500, $A46, '1_Raw_Data'!$D$2:$D$500, $B46)/100</f>
        <v>0.79015000000000002</v>
      </c>
      <c r="F46" s="137">
        <f>COUNTIFS('1_Raw_Data'!$E$2:$E$500, $A46, '1_Raw_Data'!$D$2:$D$500, $B46)</f>
        <v>20</v>
      </c>
      <c r="G46" s="137">
        <f>COUNTIFS('1_Raw_Data'!$E$2:$E$500, $A46, '1_Raw_Data'!$D$2:$D$500, $B46, '1_Raw_Data'!$M$2:$M$500, "At Risk")</f>
        <v>15</v>
      </c>
      <c r="H46" s="135">
        <f>SUMIFS('1_Raw_Data'!$K$2:$K$500, '1_Raw_Data'!$E$2:$E$500, $A46, '1_Raw_Data'!$D$2:$D$500, $B46)</f>
        <v>2438527.25</v>
      </c>
    </row>
  </sheetData>
  <mergeCells count="3">
    <mergeCell ref="A2:H2"/>
    <mergeCell ref="A1:H1"/>
    <mergeCell ref="A21:H21"/>
  </mergeCells>
  <pageMargins left="0.75" right="0.75" top="1" bottom="1" header="0.5" footer="0.5"/>
  <pageSetup orientation="portrait" r:id="rId1"/>
  <drawing r:id="rId2"/>
  <tableParts count="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37"/>
  <sheetViews>
    <sheetView showGridLines="0" zoomScale="130" zoomScaleNormal="130" workbookViewId="0">
      <selection activeCell="H13" sqref="H13"/>
    </sheetView>
  </sheetViews>
  <sheetFormatPr defaultRowHeight="14.25" x14ac:dyDescent="0.2"/>
  <cols>
    <col min="2" max="2" width="27.875" customWidth="1"/>
    <col min="3" max="3" width="31.5" customWidth="1"/>
    <col min="4" max="4" width="13.875" customWidth="1"/>
    <col min="5" max="5" width="21.875" customWidth="1"/>
    <col min="6" max="6" width="13.875" customWidth="1"/>
  </cols>
  <sheetData>
    <row r="2" spans="2:7" ht="23.25" x14ac:dyDescent="0.5">
      <c r="B2" s="22" t="s">
        <v>1039</v>
      </c>
      <c r="C2" s="23"/>
      <c r="D2" s="23"/>
      <c r="E2" s="23"/>
      <c r="F2" s="23"/>
      <c r="G2" s="23"/>
    </row>
    <row r="3" spans="2:7" ht="20.25" x14ac:dyDescent="0.5">
      <c r="B3" s="14" t="s">
        <v>1040</v>
      </c>
      <c r="C3" s="13"/>
      <c r="D3" s="13"/>
      <c r="E3" s="13"/>
      <c r="F3" s="13"/>
      <c r="G3" s="13"/>
    </row>
    <row r="4" spans="2:7" ht="20.25" x14ac:dyDescent="0.5">
      <c r="B4" s="15"/>
      <c r="C4" s="15"/>
      <c r="D4" s="15"/>
      <c r="E4" s="15"/>
      <c r="F4" s="15"/>
      <c r="G4" s="15"/>
    </row>
    <row r="5" spans="2:7" ht="20.25" x14ac:dyDescent="0.5">
      <c r="B5" s="28" t="s">
        <v>1041</v>
      </c>
      <c r="C5" s="16" t="s">
        <v>161</v>
      </c>
      <c r="D5" s="15"/>
      <c r="E5" s="15"/>
      <c r="F5" s="15"/>
      <c r="G5" s="15"/>
    </row>
    <row r="6" spans="2:7" ht="20.25" x14ac:dyDescent="0.5">
      <c r="B6" s="29"/>
      <c r="C6" s="15"/>
      <c r="D6" s="15"/>
      <c r="E6" s="17"/>
      <c r="F6" s="15"/>
      <c r="G6" s="15"/>
    </row>
    <row r="7" spans="2:7" ht="20.25" x14ac:dyDescent="0.5">
      <c r="B7" s="33" t="s">
        <v>1</v>
      </c>
      <c r="C7" s="18" t="str">
        <f>IFERROR(VLOOKUP($C$5, '1_Raw_Data'!$A$2:$M$501, 2, FALSE), "-")</f>
        <v>Delta Holdings 065</v>
      </c>
      <c r="D7" s="15"/>
      <c r="E7" s="17"/>
      <c r="F7" s="15"/>
      <c r="G7" s="15"/>
    </row>
    <row r="8" spans="2:7" ht="20.25" x14ac:dyDescent="0.5">
      <c r="B8" s="34" t="s">
        <v>2</v>
      </c>
      <c r="C8" s="24" t="str">
        <f>IFERROR(VLOOKUP($C$5, '1_Raw_Data'!$A$2:$M$501, 3, FALSE), "-")</f>
        <v>Raw Materials</v>
      </c>
      <c r="D8" s="15"/>
      <c r="E8" s="15"/>
      <c r="F8" s="15"/>
      <c r="G8" s="15"/>
    </row>
    <row r="9" spans="2:7" ht="20.25" x14ac:dyDescent="0.5">
      <c r="B9" s="35" t="s">
        <v>3</v>
      </c>
      <c r="C9" s="19" t="str">
        <f>IFERROR(VLOOKUP($C$5, '1_Raw_Data'!$A$2:$M$501, 4, FALSE), "-")</f>
        <v>Tier 2</v>
      </c>
      <c r="D9" s="15"/>
      <c r="E9" s="15"/>
      <c r="F9" s="15"/>
      <c r="G9" s="15"/>
    </row>
    <row r="10" spans="2:7" ht="20.25" x14ac:dyDescent="0.5">
      <c r="B10" s="34" t="s">
        <v>4</v>
      </c>
      <c r="C10" s="24" t="str">
        <f>IFERROR(VLOOKUP($C$5, '1_Raw_Data'!$A$2:$M$501, 5, FALSE), "-")</f>
        <v>India</v>
      </c>
      <c r="D10" s="15"/>
      <c r="E10" s="15"/>
      <c r="F10" s="15"/>
      <c r="G10" s="15"/>
    </row>
    <row r="11" spans="2:7" ht="20.25" x14ac:dyDescent="0.5">
      <c r="B11" s="35" t="s">
        <v>5</v>
      </c>
      <c r="C11" s="19" t="str">
        <f>IFERROR(VLOOKUP($C$5, '1_Raw_Data'!$A$2:$M$501, 6, FALSE), "-")</f>
        <v>Sarah Chen</v>
      </c>
      <c r="D11" s="15"/>
      <c r="E11" s="15"/>
      <c r="F11" s="15"/>
      <c r="G11" s="15"/>
    </row>
    <row r="12" spans="2:7" ht="20.25" x14ac:dyDescent="0.5">
      <c r="B12" s="34" t="s">
        <v>6</v>
      </c>
      <c r="C12" s="24">
        <f>IFERROR(VLOOKUP($C$5, '1_Raw_Data'!$A$2:$M$501, 7, FALSE), "-")</f>
        <v>481.85</v>
      </c>
      <c r="D12" s="15"/>
      <c r="E12" s="15"/>
      <c r="F12" s="15"/>
      <c r="G12" s="15"/>
    </row>
    <row r="13" spans="2:7" ht="20.25" x14ac:dyDescent="0.5">
      <c r="B13" s="35" t="s">
        <v>7</v>
      </c>
      <c r="C13" s="19">
        <f>IFERROR(VLOOKUP($C$5, '1_Raw_Data'!$A$2:$N$501, 8, FALSE), "-")</f>
        <v>59</v>
      </c>
      <c r="D13" s="15"/>
      <c r="E13" s="15"/>
      <c r="F13" s="15"/>
      <c r="G13" s="15"/>
    </row>
    <row r="14" spans="2:7" ht="20.25" x14ac:dyDescent="0.5">
      <c r="B14" s="34" t="s">
        <v>8</v>
      </c>
      <c r="C14" s="24">
        <f>IFERROR(VLOOKUP($C$5, '1_Raw_Data'!$A$2:$N$501, 8, FALSE), "-")</f>
        <v>59</v>
      </c>
      <c r="D14" s="15"/>
      <c r="E14" s="15"/>
      <c r="F14" s="15"/>
      <c r="G14" s="15"/>
    </row>
    <row r="15" spans="2:7" ht="20.25" x14ac:dyDescent="0.5">
      <c r="B15" s="35" t="s">
        <v>10</v>
      </c>
      <c r="C15" s="19">
        <f>IFERROR(VLOOKUP($C$5, '1_Raw_Data'!$A$2:$N$501, 11, FALSE), "-")</f>
        <v>102634.05</v>
      </c>
      <c r="D15" s="15"/>
      <c r="E15" s="15"/>
      <c r="F15" s="15"/>
      <c r="G15" s="15"/>
    </row>
    <row r="16" spans="2:7" ht="20.25" x14ac:dyDescent="0.5">
      <c r="B16" s="34" t="s">
        <v>11</v>
      </c>
      <c r="C16" s="25">
        <f>IFERROR(VLOOKUP($C$5, '1_Raw_Data'!$A$2:$N$501, 12, FALSE), "-")</f>
        <v>45698</v>
      </c>
      <c r="D16" s="15"/>
      <c r="E16" s="15"/>
      <c r="F16" s="15"/>
      <c r="G16" s="15"/>
    </row>
    <row r="17" spans="1:7" ht="20.25" x14ac:dyDescent="0.5">
      <c r="B17" s="35" t="s">
        <v>12</v>
      </c>
      <c r="C17" s="19" t="str">
        <f>IFERROR(VLOOKUP($C$5, '1_Raw_Data'!$A$2:$N$501, 13, FALSE), "-")</f>
        <v>OK</v>
      </c>
      <c r="D17" s="15"/>
      <c r="E17" s="15"/>
      <c r="F17" s="15"/>
      <c r="G17" s="15"/>
    </row>
    <row r="18" spans="1:7" ht="20.25" x14ac:dyDescent="0.5">
      <c r="B18" s="34" t="s">
        <v>13</v>
      </c>
      <c r="C18" s="24" t="str">
        <f>IFERROR(VLOOKUP($C$5, '1_Raw_Data'!$A$2:$N$501, 14, FALSE), "-")</f>
        <v>High</v>
      </c>
      <c r="D18" s="15"/>
      <c r="E18" s="15"/>
      <c r="F18" s="15"/>
      <c r="G18" s="15"/>
    </row>
    <row r="19" spans="1:7" ht="20.25" x14ac:dyDescent="0.5">
      <c r="B19" s="15"/>
      <c r="C19" s="15"/>
      <c r="D19" s="15"/>
      <c r="E19" s="15"/>
      <c r="F19" s="15"/>
      <c r="G19" s="15"/>
    </row>
    <row r="20" spans="1:7" ht="20.25" x14ac:dyDescent="0.5">
      <c r="B20" s="15"/>
      <c r="C20" s="15"/>
      <c r="D20" s="15"/>
      <c r="E20" s="15"/>
      <c r="F20" s="15"/>
      <c r="G20" s="15"/>
    </row>
    <row r="21" spans="1:7" ht="23.25" x14ac:dyDescent="0.5">
      <c r="B21" s="22" t="s">
        <v>1074</v>
      </c>
      <c r="C21" s="23"/>
      <c r="D21" s="23"/>
      <c r="E21" s="23"/>
      <c r="F21" s="23"/>
      <c r="G21" s="23"/>
    </row>
    <row r="22" spans="1:7" ht="20.25" x14ac:dyDescent="0.5">
      <c r="B22" s="14" t="s">
        <v>1075</v>
      </c>
      <c r="C22" s="13"/>
      <c r="D22" s="13"/>
      <c r="E22" s="13"/>
      <c r="F22" s="13"/>
      <c r="G22" s="13"/>
    </row>
    <row r="23" spans="1:7" ht="20.25" x14ac:dyDescent="0.5">
      <c r="B23" s="15"/>
      <c r="C23" s="15"/>
      <c r="D23" s="15"/>
      <c r="E23" s="15"/>
      <c r="F23" s="15"/>
      <c r="G23" s="15"/>
    </row>
    <row r="24" spans="1:7" ht="20.25" x14ac:dyDescent="0.5">
      <c r="B24" s="28" t="s">
        <v>1081</v>
      </c>
      <c r="C24" s="16" t="s">
        <v>1072</v>
      </c>
      <c r="D24" s="15"/>
      <c r="E24" s="15"/>
      <c r="F24" s="15"/>
      <c r="G24" s="15"/>
    </row>
    <row r="25" spans="1:7" ht="20.25" x14ac:dyDescent="0.5">
      <c r="B25" s="29"/>
      <c r="C25" s="15"/>
      <c r="D25" s="15"/>
      <c r="E25" s="15"/>
      <c r="F25" s="15"/>
      <c r="G25" s="15"/>
    </row>
    <row r="26" spans="1:7" ht="20.25" x14ac:dyDescent="0.5">
      <c r="B26" s="30" t="s">
        <v>1077</v>
      </c>
      <c r="C26" s="26">
        <f>AVERAGEIF('1_Raw_Data'!$F$2:$F$500, $C$24, '1_Raw_Data'!$I$2:$I$500)</f>
        <v>78.446153846153848</v>
      </c>
      <c r="D26" s="20"/>
      <c r="E26" s="15"/>
      <c r="F26" s="15"/>
      <c r="G26" s="15"/>
    </row>
    <row r="27" spans="1:7" ht="20.25" x14ac:dyDescent="0.5">
      <c r="A27" s="10"/>
      <c r="B27" s="31" t="s">
        <v>1078</v>
      </c>
      <c r="C27" s="21">
        <f>AVERAGEIF('1_Raw_Data'!$F$2:$F$500, $C$24, '1_Raw_Data'!$H$2:$H$500)</f>
        <v>33.92307692307692</v>
      </c>
      <c r="D27" s="20"/>
      <c r="E27" s="15"/>
      <c r="F27" s="15"/>
      <c r="G27" s="15"/>
    </row>
    <row r="28" spans="1:7" ht="20.25" x14ac:dyDescent="0.5">
      <c r="B28" s="30" t="s">
        <v>1061</v>
      </c>
      <c r="C28" s="27">
        <f>AVERAGEIF('1_Raw_Data'!$F$2:$F$500, $C$24, '1_Raw_Data'!$G$2:$G$500)</f>
        <v>1082.0996153846152</v>
      </c>
      <c r="D28" s="20"/>
      <c r="E28" s="15"/>
      <c r="F28" s="15"/>
      <c r="G28" s="15"/>
    </row>
    <row r="29" spans="1:7" ht="20.25" x14ac:dyDescent="0.5">
      <c r="B29" s="32" t="s">
        <v>1079</v>
      </c>
      <c r="C29" s="21">
        <f>AVERAGEIF('1_Raw_Data'!$F$2:$F$500, $C$24, '1_Raw_Data'!$J$2:$J$500)</f>
        <v>268.22115384615387</v>
      </c>
      <c r="D29" s="20"/>
      <c r="E29" s="15"/>
      <c r="F29" s="15"/>
      <c r="G29" s="15"/>
    </row>
    <row r="30" spans="1:7" ht="20.25" x14ac:dyDescent="0.5">
      <c r="B30" s="30" t="s">
        <v>1080</v>
      </c>
      <c r="C30" s="36">
        <f>AVERAGEIF('1_Raw_Data'!$F$2:$F$500, $C$24, '1_Raw_Data'!$K$2:$K$500)</f>
        <v>295511.44903846143</v>
      </c>
      <c r="D30" s="20"/>
      <c r="E30" s="15"/>
      <c r="F30" s="15"/>
      <c r="G30" s="15"/>
    </row>
    <row r="31" spans="1:7" x14ac:dyDescent="0.2">
      <c r="B31" s="9"/>
      <c r="C31" s="8"/>
    </row>
    <row r="32" spans="1:7" x14ac:dyDescent="0.2">
      <c r="B32" s="1"/>
      <c r="C32" s="2"/>
    </row>
    <row r="33" spans="2:3" x14ac:dyDescent="0.2">
      <c r="B33" s="3"/>
      <c r="C33" s="4"/>
    </row>
    <row r="34" spans="2:3" x14ac:dyDescent="0.2">
      <c r="B34" s="1"/>
      <c r="C34" s="5"/>
    </row>
    <row r="35" spans="2:3" x14ac:dyDescent="0.2">
      <c r="B35" s="1"/>
      <c r="C35" s="6"/>
    </row>
    <row r="36" spans="2:3" x14ac:dyDescent="0.2">
      <c r="B36" s="1"/>
      <c r="C36" s="7"/>
    </row>
    <row r="37" spans="2:3" x14ac:dyDescent="0.2">
      <c r="B37" s="1"/>
      <c r="C37" s="7"/>
    </row>
  </sheetData>
  <mergeCells count="4">
    <mergeCell ref="B3:G3"/>
    <mergeCell ref="B2:G2"/>
    <mergeCell ref="B21:G21"/>
    <mergeCell ref="B22:G22"/>
  </mergeCells>
  <conditionalFormatting sqref="C36">
    <cfRule type="cellIs" dxfId="39" priority="1" operator="equal">
      <formula>"At Risk"</formula>
    </cfRule>
    <cfRule type="cellIs" dxfId="38" priority="2" operator="equal">
      <formula>"Monitor"</formula>
    </cfRule>
    <cfRule type="cellIs" dxfId="37" priority="3" operator="equal">
      <formula>"OK"</formula>
    </cfRule>
  </conditionalFormatting>
  <pageMargins left="0.75" right="0.75" top="1" bottom="1" header="0.5" footer="0.5"/>
  <pageSetup orientation="portrait" r:id="rId1"/>
  <ignoredErrors>
    <ignoredError sqref="C9"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0"/>
  <sheetViews>
    <sheetView showGridLines="0" workbookViewId="0">
      <selection activeCell="H28" sqref="H28"/>
    </sheetView>
  </sheetViews>
  <sheetFormatPr defaultRowHeight="14.25" x14ac:dyDescent="0.2"/>
  <cols>
    <col min="1" max="1" width="3.5" customWidth="1"/>
    <col min="2" max="2" width="29.875" customWidth="1"/>
    <col min="3" max="3" width="15.875" customWidth="1"/>
    <col min="4" max="4" width="17.875" customWidth="1"/>
    <col min="5" max="5" width="22.625" customWidth="1"/>
    <col min="6" max="8" width="13.875" customWidth="1"/>
    <col min="9" max="9" width="15.875" customWidth="1"/>
  </cols>
  <sheetData>
    <row r="1" spans="2:10" ht="20.25" x14ac:dyDescent="0.5">
      <c r="B1" s="15"/>
      <c r="C1" s="15"/>
      <c r="D1" s="15"/>
      <c r="E1" s="15"/>
      <c r="F1" s="15"/>
      <c r="G1" s="15"/>
      <c r="H1" s="15"/>
      <c r="I1" s="15"/>
      <c r="J1" s="15"/>
    </row>
    <row r="2" spans="2:10" ht="23.25" x14ac:dyDescent="0.5">
      <c r="B2" s="22" t="s">
        <v>1042</v>
      </c>
      <c r="C2" s="23"/>
      <c r="D2" s="23"/>
      <c r="E2" s="23"/>
      <c r="F2" s="23"/>
      <c r="G2" s="23"/>
      <c r="H2" s="23"/>
      <c r="I2" s="23"/>
      <c r="J2" s="23"/>
    </row>
    <row r="3" spans="2:10" ht="20.25" x14ac:dyDescent="0.5">
      <c r="B3" s="14"/>
      <c r="C3" s="13"/>
      <c r="D3" s="13"/>
      <c r="E3" s="13"/>
      <c r="F3" s="13"/>
      <c r="G3" s="13"/>
      <c r="H3" s="13"/>
      <c r="I3" s="13"/>
      <c r="J3" s="13"/>
    </row>
    <row r="4" spans="2:10" ht="20.25" x14ac:dyDescent="0.5">
      <c r="B4" s="15"/>
      <c r="C4" s="15"/>
      <c r="D4" s="15"/>
      <c r="E4" s="15"/>
      <c r="F4" s="15"/>
      <c r="G4" s="15"/>
      <c r="H4" s="15"/>
      <c r="I4" s="15"/>
      <c r="J4" s="15"/>
    </row>
    <row r="5" spans="2:10" ht="24" customHeight="1" x14ac:dyDescent="0.5">
      <c r="B5" s="122" t="s">
        <v>1043</v>
      </c>
      <c r="C5" s="123"/>
      <c r="D5" s="123"/>
      <c r="E5" s="15"/>
      <c r="F5" s="15"/>
      <c r="G5" s="15"/>
      <c r="H5" s="15"/>
      <c r="I5" s="15"/>
      <c r="J5" s="15"/>
    </row>
    <row r="6" spans="2:10" ht="20.25" x14ac:dyDescent="0.5">
      <c r="B6" s="124" t="s">
        <v>1044</v>
      </c>
      <c r="C6" s="113">
        <v>10</v>
      </c>
      <c r="D6" s="114" t="s">
        <v>1045</v>
      </c>
      <c r="E6" s="15"/>
      <c r="F6" s="15"/>
      <c r="G6" s="15"/>
      <c r="H6" s="15"/>
      <c r="I6" s="15"/>
      <c r="J6" s="15"/>
    </row>
    <row r="7" spans="2:10" ht="20.25" x14ac:dyDescent="0.5">
      <c r="B7" s="124" t="s">
        <v>1046</v>
      </c>
      <c r="C7" s="113">
        <v>3</v>
      </c>
      <c r="D7" s="114" t="s">
        <v>1047</v>
      </c>
      <c r="E7" s="15"/>
      <c r="F7" s="15"/>
      <c r="G7" s="15"/>
      <c r="H7" s="15"/>
      <c r="I7" s="15"/>
      <c r="J7" s="15"/>
    </row>
    <row r="8" spans="2:10" ht="20.25" x14ac:dyDescent="0.5">
      <c r="B8" s="124" t="s">
        <v>1048</v>
      </c>
      <c r="C8" s="113">
        <v>5</v>
      </c>
      <c r="D8" s="114" t="s">
        <v>1047</v>
      </c>
      <c r="E8" s="15"/>
      <c r="F8" s="15"/>
      <c r="G8" s="15"/>
      <c r="H8" s="15"/>
      <c r="I8" s="15"/>
      <c r="J8" s="15"/>
    </row>
    <row r="9" spans="2:10" ht="20.25" x14ac:dyDescent="0.5">
      <c r="B9" s="124" t="s">
        <v>1049</v>
      </c>
      <c r="C9" s="113">
        <v>85</v>
      </c>
      <c r="D9" s="114" t="s">
        <v>1045</v>
      </c>
      <c r="E9" s="15"/>
      <c r="F9" s="15"/>
      <c r="G9" s="15"/>
      <c r="H9" s="15"/>
      <c r="I9" s="15"/>
      <c r="J9" s="15"/>
    </row>
    <row r="10" spans="2:10" ht="20.25" x14ac:dyDescent="0.5">
      <c r="B10" s="15"/>
      <c r="C10" s="15"/>
      <c r="D10" s="15"/>
      <c r="E10" s="15"/>
      <c r="F10" s="15"/>
      <c r="G10" s="15"/>
      <c r="H10" s="15"/>
      <c r="I10" s="15"/>
      <c r="J10" s="15"/>
    </row>
    <row r="11" spans="2:10" ht="24" customHeight="1" x14ac:dyDescent="0.5">
      <c r="B11" s="15"/>
      <c r="C11" s="15"/>
      <c r="D11" s="15"/>
      <c r="E11" s="15"/>
      <c r="F11" s="15"/>
      <c r="G11" s="115"/>
      <c r="H11" s="115"/>
      <c r="I11" s="115"/>
      <c r="J11" s="115"/>
    </row>
    <row r="12" spans="2:10" ht="36" customHeight="1" x14ac:dyDescent="0.5">
      <c r="B12" s="116" t="s">
        <v>1050</v>
      </c>
      <c r="C12" s="116"/>
      <c r="D12" s="116"/>
      <c r="E12" s="116"/>
      <c r="F12" s="116"/>
      <c r="G12" s="15"/>
      <c r="H12" s="15"/>
      <c r="I12" s="15"/>
      <c r="J12" s="15"/>
    </row>
    <row r="13" spans="2:10" ht="43.5" customHeight="1" x14ac:dyDescent="0.5">
      <c r="B13" s="117" t="s">
        <v>1051</v>
      </c>
      <c r="C13" s="117" t="s">
        <v>1052</v>
      </c>
      <c r="D13" s="117" t="s">
        <v>1053</v>
      </c>
      <c r="E13" s="117" t="s">
        <v>1054</v>
      </c>
      <c r="F13" s="117" t="s">
        <v>1055</v>
      </c>
      <c r="G13" s="15"/>
      <c r="H13" s="15"/>
      <c r="I13" s="15"/>
      <c r="J13" s="15"/>
    </row>
    <row r="14" spans="2:10" ht="20.25" x14ac:dyDescent="0.5">
      <c r="B14" s="18" t="s">
        <v>1038</v>
      </c>
      <c r="C14" s="67">
        <f>SUMIF('1_Raw_Data'!C:C,"Raw Materials",'1_Raw_Data'!K:K)+SUMIF('1_Raw_Data'!C:C,"Packaging",'1_Raw_Data'!K:K)+SUMIF('1_Raw_Data'!C:C,"Logistics",'1_Raw_Data'!K:K)+SUMIF('1_Raw_Data'!C:C,"IT Equipment",'1_Raw_Data'!K:K)+SUMIF('1_Raw_Data'!C:C,"Office Supplies",'1_Raw_Data'!K:K)</f>
        <v>111288558.40000001</v>
      </c>
      <c r="D14" s="67">
        <f>C14*(1+$C$6/100)</f>
        <v>122417414.24000001</v>
      </c>
      <c r="E14" s="67">
        <f>C14</f>
        <v>111288558.40000001</v>
      </c>
      <c r="F14" s="67">
        <f>C14*(1+$C$6/100)</f>
        <v>122417414.24000001</v>
      </c>
      <c r="G14" s="15"/>
      <c r="H14" s="15"/>
      <c r="I14" s="15"/>
      <c r="J14" s="15"/>
    </row>
    <row r="15" spans="2:10" ht="20.25" x14ac:dyDescent="0.5">
      <c r="B15" s="118" t="s">
        <v>1033</v>
      </c>
      <c r="C15" s="119">
        <f>AVERAGE('1_Raw_Data'!G2:G501)</f>
        <v>867.28803999999946</v>
      </c>
      <c r="D15" s="119">
        <f>C15*(1+$C$6/100)</f>
        <v>954.01684399999942</v>
      </c>
      <c r="E15" s="119">
        <f>C15</f>
        <v>867.28803999999946</v>
      </c>
      <c r="F15" s="119">
        <f>C15*(1+$C$6/100)</f>
        <v>954.01684399999942</v>
      </c>
      <c r="G15" s="15"/>
      <c r="H15" s="15"/>
      <c r="I15" s="15"/>
      <c r="J15" s="15"/>
    </row>
    <row r="16" spans="2:10" ht="20.25" x14ac:dyDescent="0.5">
      <c r="B16" s="18" t="s">
        <v>1034</v>
      </c>
      <c r="C16" s="69">
        <f>AVERAGE('1_Raw_Data'!H2:H501)</f>
        <v>31.231999999999999</v>
      </c>
      <c r="D16" s="69">
        <f>C16</f>
        <v>31.231999999999999</v>
      </c>
      <c r="E16" s="69">
        <f>C16-$C$7</f>
        <v>28.231999999999999</v>
      </c>
      <c r="F16" s="69">
        <f>C16-$C$7+$C$8</f>
        <v>33.231999999999999</v>
      </c>
      <c r="G16" s="15"/>
      <c r="H16" s="15"/>
      <c r="I16" s="15"/>
      <c r="J16" s="15"/>
    </row>
    <row r="17" spans="2:10" ht="20.25" x14ac:dyDescent="0.5">
      <c r="B17" s="118" t="s">
        <v>1056</v>
      </c>
      <c r="C17" s="120">
        <f>C16+$C$8</f>
        <v>36.231999999999999</v>
      </c>
      <c r="D17" s="120">
        <f>C17</f>
        <v>36.231999999999999</v>
      </c>
      <c r="E17" s="120">
        <f>C17-$C$7</f>
        <v>33.231999999999999</v>
      </c>
      <c r="F17" s="120">
        <f>C17-$C$7+$C$8</f>
        <v>38.231999999999999</v>
      </c>
      <c r="G17" s="15"/>
      <c r="H17" s="15"/>
      <c r="I17" s="15"/>
      <c r="J17" s="15"/>
    </row>
    <row r="18" spans="2:10" ht="20.25" x14ac:dyDescent="0.5">
      <c r="B18" s="18" t="s">
        <v>1057</v>
      </c>
      <c r="C18" s="71">
        <f>COUNTIF('1_Raw_Data'!M2:M501,"At Risk")</f>
        <v>346</v>
      </c>
      <c r="D18" s="71">
        <f>C18</f>
        <v>346</v>
      </c>
      <c r="E18" s="71">
        <f>C18</f>
        <v>346</v>
      </c>
      <c r="F18" s="71">
        <f>C18</f>
        <v>346</v>
      </c>
      <c r="G18" s="15"/>
      <c r="H18" s="15"/>
      <c r="I18" s="15"/>
      <c r="J18" s="15"/>
    </row>
    <row r="19" spans="2:10" ht="20.25" x14ac:dyDescent="0.5">
      <c r="B19" s="118" t="s">
        <v>1058</v>
      </c>
      <c r="C19" s="121">
        <f>C14*($C$6/100)</f>
        <v>11128855.840000002</v>
      </c>
      <c r="D19" s="121">
        <f>C14*($C$6/100)</f>
        <v>11128855.840000002</v>
      </c>
      <c r="E19" s="121">
        <f>0</f>
        <v>0</v>
      </c>
      <c r="F19" s="121">
        <f>C14*($C$6/100)</f>
        <v>11128855.840000002</v>
      </c>
      <c r="G19" s="15"/>
      <c r="H19" s="15"/>
      <c r="I19" s="15"/>
      <c r="J19" s="15"/>
    </row>
    <row r="20" spans="2:10" ht="20.25" x14ac:dyDescent="0.5">
      <c r="B20" s="15"/>
      <c r="C20" s="15"/>
      <c r="D20" s="15"/>
      <c r="E20" s="15"/>
      <c r="F20" s="15"/>
      <c r="G20" s="15"/>
      <c r="H20" s="15"/>
      <c r="I20" s="15"/>
      <c r="J20" s="15"/>
    </row>
  </sheetData>
  <mergeCells count="4">
    <mergeCell ref="B5:D5"/>
    <mergeCell ref="B3:J3"/>
    <mergeCell ref="B2:J2"/>
    <mergeCell ref="B12:F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showGridLines="0" workbookViewId="0">
      <selection activeCell="M29" sqref="M29"/>
    </sheetView>
  </sheetViews>
  <sheetFormatPr defaultRowHeight="15" x14ac:dyDescent="0.2"/>
  <cols>
    <col min="1" max="12" width="13.875" customWidth="1"/>
  </cols>
  <sheetData>
    <row r="1" spans="1:12" ht="39.950000000000003" customHeight="1" x14ac:dyDescent="0.5">
      <c r="A1" s="37" t="s">
        <v>1059</v>
      </c>
      <c r="B1" s="38"/>
      <c r="C1" s="38"/>
      <c r="D1" s="38"/>
      <c r="E1" s="38"/>
      <c r="F1" s="38"/>
      <c r="G1" s="38"/>
      <c r="H1" s="38"/>
      <c r="I1" s="38"/>
      <c r="J1" s="38"/>
      <c r="K1" s="38"/>
      <c r="L1" s="38"/>
    </row>
    <row r="2" spans="1:12" ht="20.25" x14ac:dyDescent="0.5">
      <c r="A2" s="39"/>
      <c r="B2" s="13"/>
      <c r="C2" s="13"/>
      <c r="D2" s="13"/>
      <c r="E2" s="13"/>
      <c r="F2" s="13"/>
      <c r="G2" s="13"/>
      <c r="H2" s="13"/>
      <c r="I2" s="13"/>
      <c r="J2" s="13"/>
      <c r="K2" s="13"/>
      <c r="L2" s="13"/>
    </row>
    <row r="3" spans="1:12" ht="20.25" x14ac:dyDescent="0.5">
      <c r="A3" s="15"/>
      <c r="B3" s="15"/>
      <c r="C3" s="15"/>
      <c r="D3" s="15"/>
      <c r="E3" s="15"/>
      <c r="F3" s="15"/>
      <c r="G3" s="15"/>
      <c r="H3" s="15"/>
      <c r="I3" s="15"/>
      <c r="J3" s="15"/>
      <c r="K3" s="15"/>
      <c r="L3" s="15"/>
    </row>
    <row r="4" spans="1:12" ht="14.25" x14ac:dyDescent="0.2">
      <c r="A4" s="40" t="s">
        <v>1060</v>
      </c>
      <c r="B4" s="41"/>
      <c r="C4" s="42"/>
      <c r="D4" s="43" t="s">
        <v>1061</v>
      </c>
      <c r="E4" s="41"/>
      <c r="F4" s="44"/>
      <c r="G4" s="43" t="s">
        <v>1034</v>
      </c>
      <c r="H4" s="41"/>
      <c r="I4" s="44"/>
      <c r="J4" s="43" t="s">
        <v>1062</v>
      </c>
      <c r="K4" s="41"/>
      <c r="L4" s="45"/>
    </row>
    <row r="5" spans="1:12" ht="14.25" x14ac:dyDescent="0.2">
      <c r="A5" s="46"/>
      <c r="B5" s="47"/>
      <c r="C5" s="48"/>
      <c r="D5" s="49"/>
      <c r="E5" s="50"/>
      <c r="F5" s="51"/>
      <c r="G5" s="49"/>
      <c r="H5" s="50"/>
      <c r="I5" s="51"/>
      <c r="J5" s="49"/>
      <c r="K5" s="50"/>
      <c r="L5" s="52"/>
    </row>
    <row r="6" spans="1:12" ht="14.25" x14ac:dyDescent="0.2">
      <c r="A6" s="53">
        <f>COUNTA('1_Raw_Data'!A2:A501)</f>
        <v>500</v>
      </c>
      <c r="B6" s="41"/>
      <c r="C6" s="42"/>
      <c r="D6" s="54">
        <f>AVERAGE('1_Raw_Data'!G2:G501)</f>
        <v>867.28803999999946</v>
      </c>
      <c r="E6" s="41"/>
      <c r="F6" s="44"/>
      <c r="G6" s="55">
        <f>AVERAGE('1_Raw_Data'!H2:H501)</f>
        <v>31.231999999999999</v>
      </c>
      <c r="H6" s="41"/>
      <c r="I6" s="44"/>
      <c r="J6" s="56">
        <f>COUNTIF('1_Raw_Data'!M2:M501,"At Risk")</f>
        <v>346</v>
      </c>
      <c r="K6" s="41"/>
      <c r="L6" s="45"/>
    </row>
    <row r="7" spans="1:12" ht="14.25" x14ac:dyDescent="0.2">
      <c r="A7" s="57"/>
      <c r="B7" s="50"/>
      <c r="C7" s="58"/>
      <c r="D7" s="49"/>
      <c r="E7" s="50"/>
      <c r="F7" s="51"/>
      <c r="G7" s="59"/>
      <c r="H7" s="47"/>
      <c r="I7" s="60"/>
      <c r="J7" s="49"/>
      <c r="K7" s="50"/>
      <c r="L7" s="52"/>
    </row>
    <row r="8" spans="1:12" ht="20.25" x14ac:dyDescent="0.5">
      <c r="A8" s="15"/>
      <c r="B8" s="15"/>
      <c r="C8" s="17"/>
      <c r="D8" s="15"/>
      <c r="E8" s="15"/>
      <c r="F8" s="15"/>
      <c r="G8" s="61"/>
      <c r="H8" s="61"/>
      <c r="I8" s="61"/>
      <c r="J8" s="15"/>
      <c r="K8" s="15"/>
      <c r="L8" s="15"/>
    </row>
    <row r="9" spans="1:12" ht="24" customHeight="1" x14ac:dyDescent="0.2">
      <c r="A9" s="62" t="s">
        <v>1063</v>
      </c>
      <c r="B9" s="63"/>
      <c r="C9" s="63"/>
      <c r="D9" s="63"/>
      <c r="E9" s="63"/>
      <c r="F9" s="63"/>
      <c r="G9" s="64"/>
      <c r="H9" s="62" t="s">
        <v>1064</v>
      </c>
      <c r="I9" s="63"/>
      <c r="J9" s="63"/>
      <c r="K9" s="63"/>
      <c r="L9" s="63"/>
    </row>
    <row r="10" spans="1:12" ht="20.25" x14ac:dyDescent="0.5">
      <c r="A10" s="65" t="s">
        <v>2</v>
      </c>
      <c r="B10" s="65" t="s">
        <v>1065</v>
      </c>
      <c r="C10" s="65" t="s">
        <v>1066</v>
      </c>
      <c r="D10" s="65" t="s">
        <v>1067</v>
      </c>
      <c r="E10" s="65" t="s">
        <v>1068</v>
      </c>
      <c r="F10" s="65" t="s">
        <v>1069</v>
      </c>
      <c r="G10" s="15"/>
      <c r="H10" s="65" t="s">
        <v>4</v>
      </c>
      <c r="I10" s="65" t="s">
        <v>1070</v>
      </c>
      <c r="J10" s="65" t="s">
        <v>1068</v>
      </c>
      <c r="K10" s="65" t="s">
        <v>1067</v>
      </c>
      <c r="L10" s="65" t="s">
        <v>1069</v>
      </c>
    </row>
    <row r="11" spans="1:12" ht="20.25" x14ac:dyDescent="0.5">
      <c r="A11" s="66" t="s">
        <v>16</v>
      </c>
      <c r="B11" s="67">
        <f>SUMIF('1_Raw_Data'!C:C,A11,'1_Raw_Data'!K:K)</f>
        <v>10203491.880000003</v>
      </c>
      <c r="C11" s="68">
        <f>IFERROR(AVERAGEIF('1_Raw_Data'!C:C,A11,'1_Raw_Data'!G:G),0)</f>
        <v>442.77858695652179</v>
      </c>
      <c r="D11" s="69">
        <f>IFERROR(AVERAGEIF('1_Raw_Data'!C:C,A11,'1_Raw_Data'!H:H),0)</f>
        <v>28.815217391304348</v>
      </c>
      <c r="E11" s="70">
        <f>IFERROR(AVERAGEIF('1_Raw_Data'!C:C,A11,'1_Raw_Data'!I:I),0)</f>
        <v>77.349999999999994</v>
      </c>
      <c r="F11" s="71">
        <f>COUNTIFS('1_Raw_Data'!C:C,A11,'1_Raw_Data'!M:M,"At Risk")</f>
        <v>64</v>
      </c>
      <c r="G11" s="15"/>
      <c r="H11" s="66" t="s">
        <v>26</v>
      </c>
      <c r="I11" s="71">
        <f>COUNTIF('1_Raw_Data'!E:E,H11)</f>
        <v>55</v>
      </c>
      <c r="J11" s="70">
        <f>IFERROR(AVERAGEIF('1_Raw_Data'!E:E,H11,'1_Raw_Data'!I:I),0)</f>
        <v>76.86181818181818</v>
      </c>
      <c r="K11" s="69">
        <f>IFERROR(AVERAGEIF('1_Raw_Data'!E:E,H11,'1_Raw_Data'!H:H),0)</f>
        <v>35.872727272727275</v>
      </c>
      <c r="L11" s="71">
        <f>COUNTIFS('1_Raw_Data'!E:E,H11,'1_Raw_Data'!M:M,"At Risk")</f>
        <v>36</v>
      </c>
    </row>
    <row r="12" spans="1:12" ht="20.25" x14ac:dyDescent="0.5">
      <c r="A12" s="72" t="s">
        <v>48</v>
      </c>
      <c r="B12" s="73">
        <f>SUMIF('1_Raw_Data'!C:C,A12,'1_Raw_Data'!K:K)</f>
        <v>1472223.6300000001</v>
      </c>
      <c r="C12" s="74">
        <f>IFERROR(AVERAGEIF('1_Raw_Data'!C:C,A12,'1_Raw_Data'!G:G),0)</f>
        <v>65.271075268817185</v>
      </c>
      <c r="D12" s="75">
        <f>IFERROR(AVERAGEIF('1_Raw_Data'!C:C,A12,'1_Raw_Data'!H:H),0)</f>
        <v>31.172043010752688</v>
      </c>
      <c r="E12" s="76">
        <f>IFERROR(AVERAGEIF('1_Raw_Data'!C:C,A12,'1_Raw_Data'!I:I),0)</f>
        <v>77.164516129032279</v>
      </c>
      <c r="F12" s="77">
        <f>COUNTIFS('1_Raw_Data'!C:C,A12,'1_Raw_Data'!M:M,"At Risk")</f>
        <v>64</v>
      </c>
      <c r="G12" s="15"/>
      <c r="H12" s="72" t="s">
        <v>58</v>
      </c>
      <c r="I12" s="77">
        <f>COUNTIF('1_Raw_Data'!E:E,H12)</f>
        <v>75</v>
      </c>
      <c r="J12" s="76">
        <f>IFERROR(AVERAGEIF('1_Raw_Data'!E:E,H12,'1_Raw_Data'!I:I),0)</f>
        <v>77.176000000000002</v>
      </c>
      <c r="K12" s="75">
        <f>IFERROR(AVERAGEIF('1_Raw_Data'!E:E,H12,'1_Raw_Data'!H:H),0)</f>
        <v>29.026666666666667</v>
      </c>
      <c r="L12" s="77">
        <f>COUNTIFS('1_Raw_Data'!E:E,H12,'1_Raw_Data'!M:M,"At Risk")</f>
        <v>52</v>
      </c>
    </row>
    <row r="13" spans="1:12" ht="20.25" x14ac:dyDescent="0.5">
      <c r="A13" s="66" t="s">
        <v>30</v>
      </c>
      <c r="B13" s="67">
        <f>SUMIF('1_Raw_Data'!C:C,A13,'1_Raw_Data'!K:K)</f>
        <v>30733190.699999988</v>
      </c>
      <c r="C13" s="68">
        <f>IFERROR(AVERAGEIF('1_Raw_Data'!C:C,A13,'1_Raw_Data'!G:G),0)</f>
        <v>1082.0996153846152</v>
      </c>
      <c r="D13" s="69">
        <f>IFERROR(AVERAGEIF('1_Raw_Data'!C:C,A13,'1_Raw_Data'!H:H),0)</f>
        <v>33.92307692307692</v>
      </c>
      <c r="E13" s="70">
        <f>IFERROR(AVERAGEIF('1_Raw_Data'!C:C,A13,'1_Raw_Data'!I:I),0)</f>
        <v>78.446153846153848</v>
      </c>
      <c r="F13" s="71">
        <f>COUNTIFS('1_Raw_Data'!C:C,A13,'1_Raw_Data'!M:M,"At Risk")</f>
        <v>69</v>
      </c>
      <c r="G13" s="15"/>
      <c r="H13" s="66" t="s">
        <v>45</v>
      </c>
      <c r="I13" s="71">
        <f>COUNTIF('1_Raw_Data'!E:E,H13)</f>
        <v>70</v>
      </c>
      <c r="J13" s="70">
        <f>IFERROR(AVERAGEIF('1_Raw_Data'!E:E,H13,'1_Raw_Data'!I:I),0)</f>
        <v>73.805714285714274</v>
      </c>
      <c r="K13" s="69">
        <f>IFERROR(AVERAGEIF('1_Raw_Data'!E:E,H13,'1_Raw_Data'!H:H),0)</f>
        <v>29.614285714285714</v>
      </c>
      <c r="L13" s="71">
        <f>COUNTIFS('1_Raw_Data'!E:E,H13,'1_Raw_Data'!M:M,"At Risk")</f>
        <v>56</v>
      </c>
    </row>
    <row r="14" spans="1:12" ht="20.25" x14ac:dyDescent="0.5">
      <c r="A14" s="72" t="s">
        <v>39</v>
      </c>
      <c r="B14" s="73">
        <f>SUMIF('1_Raw_Data'!C:C,A14,'1_Raw_Data'!K:K)</f>
        <v>67636013.950000018</v>
      </c>
      <c r="C14" s="74">
        <f>IFERROR(AVERAGEIF('1_Raw_Data'!C:C,A14,'1_Raw_Data'!G:G),0)</f>
        <v>2723.2050505050502</v>
      </c>
      <c r="D14" s="75">
        <f>IFERROR(AVERAGEIF('1_Raw_Data'!C:C,A14,'1_Raw_Data'!H:H),0)</f>
        <v>30.858585858585858</v>
      </c>
      <c r="E14" s="76">
        <f>IFERROR(AVERAGEIF('1_Raw_Data'!C:C,A14,'1_Raw_Data'!I:I),0)</f>
        <v>75.662626262626262</v>
      </c>
      <c r="F14" s="77">
        <f>COUNTIFS('1_Raw_Data'!C:C,A14,'1_Raw_Data'!M:M,"At Risk")</f>
        <v>71</v>
      </c>
      <c r="G14" s="15"/>
      <c r="H14" s="72" t="s">
        <v>22</v>
      </c>
      <c r="I14" s="77">
        <f>COUNTIF('1_Raw_Data'!E:E,H14)</f>
        <v>61</v>
      </c>
      <c r="J14" s="76">
        <f>IFERROR(AVERAGEIF('1_Raw_Data'!E:E,H14,'1_Raw_Data'!I:I),0)</f>
        <v>79.945901639344257</v>
      </c>
      <c r="K14" s="75">
        <f>IFERROR(AVERAGEIF('1_Raw_Data'!E:E,H14,'1_Raw_Data'!H:H),0)</f>
        <v>28.967213114754099</v>
      </c>
      <c r="L14" s="77">
        <f>COUNTIFS('1_Raw_Data'!E:E,H14,'1_Raw_Data'!M:M,"At Risk")</f>
        <v>34</v>
      </c>
    </row>
    <row r="15" spans="1:12" ht="20.25" x14ac:dyDescent="0.5">
      <c r="A15" s="66" t="s">
        <v>25</v>
      </c>
      <c r="B15" s="67">
        <f>SUMIF('1_Raw_Data'!C:C,A15,'1_Raw_Data'!K:K)</f>
        <v>1243638.24</v>
      </c>
      <c r="C15" s="68">
        <f>IFERROR(AVERAGEIF('1_Raw_Data'!C:C,A15,'1_Raw_Data'!G:G),0)</f>
        <v>41.986785714285709</v>
      </c>
      <c r="D15" s="69">
        <f>IFERROR(AVERAGEIF('1_Raw_Data'!C:C,A15,'1_Raw_Data'!H:H),0)</f>
        <v>31.098214285714285</v>
      </c>
      <c r="E15" s="70">
        <f>IFERROR(AVERAGEIF('1_Raw_Data'!C:C,A15,'1_Raw_Data'!I:I),0)</f>
        <v>76.456249999999983</v>
      </c>
      <c r="F15" s="71">
        <f>COUNTIFS('1_Raw_Data'!C:C,A15,'1_Raw_Data'!M:M,"At Risk")</f>
        <v>78</v>
      </c>
      <c r="G15" s="15"/>
      <c r="H15" s="66" t="s">
        <v>18</v>
      </c>
      <c r="I15" s="71">
        <f>COUNTIF('1_Raw_Data'!E:E,H15)</f>
        <v>58</v>
      </c>
      <c r="J15" s="70">
        <f>IFERROR(AVERAGEIF('1_Raw_Data'!E:E,H15,'1_Raw_Data'!I:I),0)</f>
        <v>77.984482758620658</v>
      </c>
      <c r="K15" s="69">
        <f>IFERROR(AVERAGEIF('1_Raw_Data'!E:E,H15,'1_Raw_Data'!H:H),0)</f>
        <v>29.586206896551722</v>
      </c>
      <c r="L15" s="71">
        <f>COUNTIFS('1_Raw_Data'!E:E,H15,'1_Raw_Data'!M:M,"At Risk")</f>
        <v>40</v>
      </c>
    </row>
    <row r="16" spans="1:12" ht="20.25" x14ac:dyDescent="0.5">
      <c r="A16" s="15"/>
      <c r="B16" s="15"/>
      <c r="C16" s="15"/>
      <c r="D16" s="15"/>
      <c r="E16" s="15"/>
      <c r="F16" s="15"/>
      <c r="G16" s="15"/>
      <c r="H16" s="72" t="s">
        <v>41</v>
      </c>
      <c r="I16" s="77">
        <f>COUNTIF('1_Raw_Data'!E:E,H16)</f>
        <v>52</v>
      </c>
      <c r="J16" s="76">
        <f>IFERROR(AVERAGEIF('1_Raw_Data'!E:E,H16,'1_Raw_Data'!I:I),0)</f>
        <v>76.561538461538447</v>
      </c>
      <c r="K16" s="75">
        <f>IFERROR(AVERAGEIF('1_Raw_Data'!E:E,H16,'1_Raw_Data'!H:H),0)</f>
        <v>31.71153846153846</v>
      </c>
      <c r="L16" s="77">
        <f>COUNTIFS('1_Raw_Data'!E:E,H16,'1_Raw_Data'!M:M,"At Risk")</f>
        <v>35</v>
      </c>
    </row>
    <row r="17" spans="1:12" ht="20.25" x14ac:dyDescent="0.5">
      <c r="A17" s="15"/>
      <c r="B17" s="15"/>
      <c r="C17" s="15"/>
      <c r="D17" s="15"/>
      <c r="E17" s="15"/>
      <c r="F17" s="15"/>
      <c r="G17" s="15"/>
      <c r="H17" s="66" t="s">
        <v>31</v>
      </c>
      <c r="I17" s="71">
        <f>COUNTIF('1_Raw_Data'!E:E,H17)</f>
        <v>72</v>
      </c>
      <c r="J17" s="70">
        <f>IFERROR(AVERAGEIF('1_Raw_Data'!E:E,H17,'1_Raw_Data'!I:I),0)</f>
        <v>77.393055555555577</v>
      </c>
      <c r="K17" s="69">
        <f>IFERROR(AVERAGEIF('1_Raw_Data'!E:E,H17,'1_Raw_Data'!H:H),0)</f>
        <v>36.236111111111114</v>
      </c>
      <c r="L17" s="71">
        <f>COUNTIFS('1_Raw_Data'!E:E,H17,'1_Raw_Data'!M:M,"At Risk")</f>
        <v>50</v>
      </c>
    </row>
    <row r="18" spans="1:12" ht="20.25" x14ac:dyDescent="0.5">
      <c r="A18" s="15"/>
      <c r="B18" s="15"/>
      <c r="C18" s="15"/>
      <c r="D18" s="15"/>
      <c r="E18" s="15"/>
      <c r="F18" s="15"/>
      <c r="G18" s="15"/>
      <c r="H18" s="72" t="s">
        <v>51</v>
      </c>
      <c r="I18" s="77">
        <f>COUNTIF('1_Raw_Data'!E:E,H18)</f>
        <v>57</v>
      </c>
      <c r="J18" s="76">
        <f>IFERROR(AVERAGEIF('1_Raw_Data'!E:E,H18,'1_Raw_Data'!I:I),0)</f>
        <v>76.654385964912279</v>
      </c>
      <c r="K18" s="75">
        <f>IFERROR(AVERAGEIF('1_Raw_Data'!E:E,H18,'1_Raw_Data'!H:H),0)</f>
        <v>28.982456140350877</v>
      </c>
      <c r="L18" s="77">
        <f>COUNTIFS('1_Raw_Data'!E:E,H18,'1_Raw_Data'!M:M,"At Risk")</f>
        <v>43</v>
      </c>
    </row>
    <row r="19" spans="1:12" ht="20.25" x14ac:dyDescent="0.5">
      <c r="A19" s="15"/>
      <c r="B19" s="15"/>
      <c r="C19" s="15"/>
      <c r="D19" s="15"/>
      <c r="E19" s="15"/>
      <c r="F19" s="15"/>
      <c r="G19" s="15"/>
      <c r="H19" s="15"/>
      <c r="I19" s="15"/>
      <c r="J19" s="15"/>
      <c r="K19" s="15"/>
      <c r="L19" s="15"/>
    </row>
    <row r="21" spans="1:12" ht="27.95" customHeight="1" x14ac:dyDescent="0.2">
      <c r="A21" s="12"/>
      <c r="B21" s="11"/>
      <c r="C21" s="11"/>
      <c r="D21" s="11"/>
      <c r="E21" s="11"/>
      <c r="F21" s="11"/>
      <c r="G21" s="11"/>
      <c r="H21" s="11"/>
      <c r="I21" s="11"/>
      <c r="J21" s="11"/>
      <c r="K21" s="11"/>
      <c r="L21" s="11"/>
    </row>
  </sheetData>
  <mergeCells count="13">
    <mergeCell ref="A21:L21"/>
    <mergeCell ref="A1:L1"/>
    <mergeCell ref="A9:F9"/>
    <mergeCell ref="A4:C5"/>
    <mergeCell ref="G4:I5"/>
    <mergeCell ref="D4:F5"/>
    <mergeCell ref="J4:L5"/>
    <mergeCell ref="H9:L9"/>
    <mergeCell ref="A6:C7"/>
    <mergeCell ref="A2:L2"/>
    <mergeCell ref="D6:F7"/>
    <mergeCell ref="G6:I7"/>
    <mergeCell ref="J6:L7"/>
  </mergeCells>
  <conditionalFormatting sqref="J11:J18">
    <cfRule type="colorScale" priority="1">
      <colorScale>
        <cfvo type="num" val="55"/>
        <cfvo type="num" val="85"/>
        <cfvo type="num" val="100"/>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1_Raw_Data</vt:lpstr>
      <vt:lpstr>2_Category_Summary</vt:lpstr>
      <vt:lpstr>3_VLOOKUP_Card</vt:lpstr>
      <vt:lpstr>4_Scenario_Analysis</vt:lpstr>
      <vt:lpstr>5_Dashboard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June Bui</dc:creator>
  <cp:lastModifiedBy>Giunkhoailang !</cp:lastModifiedBy>
  <dcterms:created xsi:type="dcterms:W3CDTF">2026-05-04T14:16:31Z</dcterms:created>
  <dcterms:modified xsi:type="dcterms:W3CDTF">2026-05-30T22:47:55Z</dcterms:modified>
</cp:coreProperties>
</file>